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GSIONAL" sheetId="1" r:id="rId4"/>
    <sheet state="visible" name="PNBP UMUM" sheetId="2" r:id="rId5"/>
  </sheets>
  <definedNames/>
  <calcPr/>
  <extLst>
    <ext uri="GoogleSheetsCustomDataVersion2">
      <go:sheetsCustomData xmlns:go="http://customooxmlschemas.google.com/" r:id="rId6" roundtripDataChecksum="OZp74QBXTPziNeZ5ndNRSVUbXvevhEIDbcDOmFs3oRM="/>
    </ext>
  </extLst>
</workbook>
</file>

<file path=xl/sharedStrings.xml><?xml version="1.0" encoding="utf-8"?>
<sst xmlns="http://schemas.openxmlformats.org/spreadsheetml/2006/main" count="125" uniqueCount="69">
  <si>
    <t>RINCIAN PNBP FUNGSIONAL (AERO + NON AERO) – 2026</t>
  </si>
  <si>
    <t>UPBU Kelas I A.P.T. Pranoto – Samarinda • Realisasi Jan–Mei 2026 (Rp)</t>
  </si>
  <si>
    <t>No</t>
  </si>
  <si>
    <t>Uraian</t>
  </si>
  <si>
    <t>Keterangan</t>
  </si>
  <si>
    <t>Jan</t>
  </si>
  <si>
    <t>Feb</t>
  </si>
  <si>
    <t>Mar</t>
  </si>
  <si>
    <t>Apr</t>
  </si>
  <si>
    <t>Mei</t>
  </si>
  <si>
    <t>Total (Rp)</t>
  </si>
  <si>
    <t>Jasa Pendaratan Pesawat</t>
  </si>
  <si>
    <t>AERO</t>
  </si>
  <si>
    <t>Jasa Penempatan Pesawat</t>
  </si>
  <si>
    <t>Jasa Penyimpanan Pesawat</t>
  </si>
  <si>
    <t>PJPC (counter)</t>
  </si>
  <si>
    <t>PJP2U</t>
  </si>
  <si>
    <t>JKP2U (Jasa Layanan Kargo dan Pos Pesawat Udara)</t>
  </si>
  <si>
    <t>Jasa Penggunaan Garbarata</t>
  </si>
  <si>
    <t>EXTEND</t>
  </si>
  <si>
    <t>Penggunaan Bandara sebagai Bandara Alternatif</t>
  </si>
  <si>
    <t>Penanganan Jenazah</t>
  </si>
  <si>
    <t>JKP2U (Jasa Penyimpanan Kargo dan Pos Pesawat Udara)</t>
  </si>
  <si>
    <t>Sewa Tanah - Penggunaan Lahan</t>
  </si>
  <si>
    <t>NON AERO</t>
  </si>
  <si>
    <t>Sewa Ruangan</t>
  </si>
  <si>
    <t>Penempatan Mesin ATM</t>
  </si>
  <si>
    <t>Pemotretan Shooting</t>
  </si>
  <si>
    <t>Jasa Pemasangan Tiang Pancang Reklame</t>
  </si>
  <si>
    <t>Jasa Pemasangan Reklame</t>
  </si>
  <si>
    <t>Bis Apron</t>
  </si>
  <si>
    <t>Kendaraan/Peralatan dan Mesin</t>
  </si>
  <si>
    <t>Sewa Kendaraan Bermotor Roda 4 atau lebih</t>
  </si>
  <si>
    <t>Penggunaan X-RAY</t>
  </si>
  <si>
    <t>Pemakaian Listrik</t>
  </si>
  <si>
    <t>PAS Orang</t>
  </si>
  <si>
    <t>PAS TIM</t>
  </si>
  <si>
    <t>Telekomunikasi</t>
  </si>
  <si>
    <t>Pemakaian Air</t>
  </si>
  <si>
    <t>Pemeriksaan Kargo dan Pos</t>
  </si>
  <si>
    <t>Kegiatan Field Trip</t>
  </si>
  <si>
    <t>Bengkel Kendaraan Bermotor</t>
  </si>
  <si>
    <t>Parkir Inap</t>
  </si>
  <si>
    <t>Sewa Hanggar</t>
  </si>
  <si>
    <t>Konsesi</t>
  </si>
  <si>
    <t>Gedung/Bangunan</t>
  </si>
  <si>
    <t>Bunga Rekening BenPen</t>
  </si>
  <si>
    <t>Pengembalian Belanja</t>
  </si>
  <si>
    <t>Penggunaan Fasilitas dan Personil di Luar Jam Operasional Bandar Udara</t>
  </si>
  <si>
    <t>PAS Kendaraan</t>
  </si>
  <si>
    <t>Bunga Rekening BenPeng</t>
  </si>
  <si>
    <t>DENDA Pekerjaan Tahun lalu</t>
  </si>
  <si>
    <t>Sewa Peralatan WORKSHOP</t>
  </si>
  <si>
    <t>Pendapatan Hibah Terkait Dalam Negeri-Lembaga/Badan Usaha - Uang</t>
  </si>
  <si>
    <t>Sewa Ruang Rapat</t>
  </si>
  <si>
    <t>DENDA Pekerjaan Tahun ini</t>
  </si>
  <si>
    <t>Bunga Rekening PENERIMAAN</t>
  </si>
  <si>
    <t>Bunga Rekening PENGELUARAN</t>
  </si>
  <si>
    <t>BUNGA Rekening DEPOSITO</t>
  </si>
  <si>
    <t>JUMLAH</t>
  </si>
  <si>
    <t>RINCIAN PNBP UMUM – 2026</t>
  </si>
  <si>
    <t>Pendapatan dari Pemindahtanganan BMN Lainnya</t>
  </si>
  <si>
    <t>Pendapatan Penggunaan Sarana dan Prasarana sesuai dengan Tusi</t>
  </si>
  <si>
    <t>Pendapatan Sewa Tanah, Gedung, dan Bangunan</t>
  </si>
  <si>
    <t>Pendapatan Denda Penyelesaian Pekerjaan Pemerintah</t>
  </si>
  <si>
    <t>Penerimaan Kembali Belanja Pegawai Tahun Anggaran Yang Lalu</t>
  </si>
  <si>
    <t>Penerimaan Kembali Belanja Barang Anggaran Tahun Lalu</t>
  </si>
  <si>
    <t>Penerimaan Kembali Belanja Modal Tahun Anggaran Yang Lalu</t>
  </si>
  <si>
    <t>Pendapatan Anggaran Lain-lain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</si>
</sst>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;;\-"/>
  </numFmts>
  <fonts count="8">
    <font>
      <sz val="11.0"/>
      <color theme="1"/>
      <name val="Calibri"/>
      <scheme val="minor"/>
    </font>
    <font>
      <b/>
      <sz val="12.0"/>
      <color rgb="FFFFFFFF"/>
      <name val="Arial"/>
    </font>
    <font/>
    <font>
      <i/>
      <sz val="9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1F4E79"/>
      <name val="Arial"/>
    </font>
    <font>
      <b/>
      <sz val="10.0"/>
      <color rgb="FF843C0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DDEBF7"/>
        <bgColor rgb="FFDDEBF7"/>
      </patternFill>
    </fill>
    <fill>
      <patternFill patternType="solid">
        <fgColor rgb="FFD6E0F0"/>
        <bgColor rgb="FFD6E0F0"/>
      </patternFill>
    </fill>
    <fill>
      <patternFill patternType="solid">
        <fgColor rgb="FFFCE4D6"/>
        <bgColor rgb="FFFCE4D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bottom" wrapText="0"/>
    </xf>
    <xf borderId="4" fillId="3" fontId="4" numFmtId="0" xfId="0" applyAlignment="1" applyBorder="1" applyFill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4" fontId="6" numFmtId="0" xfId="0" applyAlignment="1" applyBorder="1" applyFill="1" applyFont="1">
      <alignment horizontal="center" shrinkToFit="0" vertical="bottom" wrapText="0"/>
    </xf>
    <xf borderId="4" fillId="0" fontId="5" numFmtId="164" xfId="0" applyAlignment="1" applyBorder="1" applyFont="1" applyNumberFormat="1">
      <alignment shrinkToFit="0" vertical="bottom" wrapText="0"/>
    </xf>
    <xf borderId="4" fillId="5" fontId="5" numFmtId="0" xfId="0" applyAlignment="1" applyBorder="1" applyFill="1" applyFont="1">
      <alignment horizontal="center" shrinkToFit="0" vertical="bottom" wrapText="0"/>
    </xf>
    <xf borderId="4" fillId="5" fontId="5" numFmtId="0" xfId="0" applyAlignment="1" applyBorder="1" applyFont="1">
      <alignment shrinkToFit="0" vertical="bottom" wrapText="0"/>
    </xf>
    <xf borderId="4" fillId="5" fontId="5" numFmtId="164" xfId="0" applyAlignment="1" applyBorder="1" applyFont="1" applyNumberFormat="1">
      <alignment shrinkToFit="0" vertical="bottom" wrapText="0"/>
    </xf>
    <xf borderId="4" fillId="6" fontId="7" numFmtId="0" xfId="0" applyAlignment="1" applyBorder="1" applyFill="1" applyFont="1">
      <alignment horizontal="center" shrinkToFit="0" vertical="bottom" wrapText="0"/>
    </xf>
    <xf borderId="5" fillId="2" fontId="4" numFmtId="0" xfId="0" applyAlignment="1" applyBorder="1" applyFon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4" fillId="2" fontId="4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Komposisi Realisasi Bulanan (2026)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Jasa Pendaratan Pesawat</c:v>
          </c:tx>
          <c:spPr>
            <a:solidFill>
              <a:srgbClr val="4E79A7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FUNGSIONAL!$D$5:$H$5</c:f>
              <c:numCache/>
            </c:numRef>
          </c:val>
        </c:ser>
        <c:ser>
          <c:idx val="1"/>
          <c:order val="1"/>
          <c:tx>
            <c:v>Jasa Penempatan Pesawat</c:v>
          </c:tx>
          <c:spPr>
            <a:solidFill>
              <a:srgbClr val="59A14F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FUNGSIONAL!$D$6:$H$6</c:f>
              <c:numCache/>
            </c:numRef>
          </c:val>
        </c:ser>
        <c:ser>
          <c:idx val="2"/>
          <c:order val="2"/>
          <c:tx>
            <c:v>Jasa Penyimpanan Pesawat</c:v>
          </c:tx>
          <c:spPr>
            <a:solidFill>
              <a:srgbClr val="F28E2B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FUNGSIONAL!$D$7:$H$7</c:f>
              <c:numCache/>
            </c:numRef>
          </c:val>
        </c:ser>
        <c:ser>
          <c:idx val="3"/>
          <c:order val="3"/>
          <c:tx>
            <c:v>PJPC (counter)</c:v>
          </c:tx>
          <c:spPr>
            <a:solidFill>
              <a:srgbClr val="E15759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FUNGSIONAL!$D$8:$H$8</c:f>
              <c:numCache/>
            </c:numRef>
          </c:val>
        </c:ser>
        <c:ser>
          <c:idx val="4"/>
          <c:order val="4"/>
          <c:tx>
            <c:v>PJP2U</c:v>
          </c:tx>
          <c:spPr>
            <a:solidFill>
              <a:srgbClr val="76B7B2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FUNGSIONAL!$D$9:$H$9</c:f>
              <c:numCache/>
            </c:numRef>
          </c:val>
        </c:ser>
        <c:ser>
          <c:idx val="5"/>
          <c:order val="5"/>
          <c:tx>
            <c:v>JKP2U (Jasa Layanan Kargo dan Pos Pesawat Udara)</c:v>
          </c:tx>
          <c:spPr>
            <a:solidFill>
              <a:srgbClr val="EDC948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FUNGSIONAL!$D$10:$H$10</c:f>
              <c:numCache/>
            </c:numRef>
          </c:val>
        </c:ser>
        <c:ser>
          <c:idx val="6"/>
          <c:order val="6"/>
          <c:tx>
            <c:v>Jasa Penggunaan Garbarata</c:v>
          </c:tx>
          <c:spPr>
            <a:solidFill>
              <a:srgbClr val="B07AA1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FUNGSIONAL!$D$11:$H$11</c:f>
              <c:numCache/>
            </c:numRef>
          </c:val>
        </c:ser>
        <c:ser>
          <c:idx val="7"/>
          <c:order val="7"/>
          <c:tx>
            <c:v>EXTEND</c:v>
          </c:tx>
          <c:spPr>
            <a:solidFill>
              <a:srgbClr val="FF9DA7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FUNGSIONAL!$D$12:$H$12</c:f>
              <c:numCache/>
            </c:numRef>
          </c:val>
        </c:ser>
        <c:ser>
          <c:idx val="8"/>
          <c:order val="8"/>
          <c:tx>
            <c:v>Penggunaan Bandara sebagai Bandara Alternatif</c:v>
          </c:tx>
          <c:spPr>
            <a:solidFill>
              <a:srgbClr val="9C755F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FUNGSIONAL!$D$13:$H$13</c:f>
              <c:numCache/>
            </c:numRef>
          </c:val>
        </c:ser>
        <c:ser>
          <c:idx val="9"/>
          <c:order val="9"/>
          <c:tx>
            <c:v>Penanganan Jenazah</c:v>
          </c:tx>
          <c:spPr>
            <a:solidFill>
              <a:srgbClr val="BAB0AC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FUNGSIONAL!$D$14:$H$14</c:f>
              <c:numCache/>
            </c:numRef>
          </c:val>
        </c:ser>
        <c:ser>
          <c:idx val="10"/>
          <c:order val="10"/>
          <c:tx>
            <c:v>JKP2U (Jasa Penyimpanan Kargo dan Pos Pesawat Udara)</c:v>
          </c:tx>
          <c:spPr>
            <a:solidFill>
              <a:srgbClr val="86BCB6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FUNGSIONAL!$D$15:$H$15</c:f>
              <c:numCache/>
            </c:numRef>
          </c:val>
        </c:ser>
        <c:ser>
          <c:idx val="11"/>
          <c:order val="11"/>
          <c:tx>
            <c:v>Sewa Tanah - Penggunaan Lahan</c:v>
          </c:tx>
          <c:spPr>
            <a:solidFill>
              <a:srgbClr val="D37295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FUNGSIONAL!$D$16:$H$16</c:f>
              <c:numCache/>
            </c:numRef>
          </c:val>
        </c:ser>
        <c:ser>
          <c:idx val="12"/>
          <c:order val="12"/>
          <c:tx>
            <c:v>Sewa Ruangan</c:v>
          </c:tx>
          <c:spPr>
            <a:solidFill>
              <a:srgbClr val="A0CBE8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FUNGSIONAL!$D$17:$H$17</c:f>
              <c:numCache/>
            </c:numRef>
          </c:val>
        </c:ser>
        <c:ser>
          <c:idx val="13"/>
          <c:order val="13"/>
          <c:tx>
            <c:v>Penempatan Mesin ATM</c:v>
          </c:tx>
          <c:spPr>
            <a:solidFill>
              <a:srgbClr val="FFBE7D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FUNGSIONAL!$D$18:$H$18</c:f>
              <c:numCache/>
            </c:numRef>
          </c:val>
        </c:ser>
        <c:ser>
          <c:idx val="14"/>
          <c:order val="14"/>
          <c:tx>
            <c:v>Pemotretan Shooting</c:v>
          </c:tx>
          <c:spPr>
            <a:solidFill>
              <a:srgbClr val="8CD17D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FUNGSIONAL!$D$19:$H$19</c:f>
              <c:numCache/>
            </c:numRef>
          </c:val>
        </c:ser>
        <c:ser>
          <c:idx val="15"/>
          <c:order val="15"/>
          <c:tx>
            <c:v>Jasa Pemasangan Tiang Pancang Reklame</c:v>
          </c:tx>
          <c:spPr>
            <a:solidFill>
              <a:srgbClr val="B6992D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FUNGSIONAL!$D$20:$H$20</c:f>
              <c:numCache/>
            </c:numRef>
          </c:val>
        </c:ser>
        <c:ser>
          <c:idx val="16"/>
          <c:order val="16"/>
          <c:tx>
            <c:v>Jasa Pemasangan Reklame</c:v>
          </c:tx>
          <c:spPr>
            <a:solidFill>
              <a:srgbClr val="499894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FUNGSIONAL!$D$21:$H$21</c:f>
              <c:numCache/>
            </c:numRef>
          </c:val>
        </c:ser>
        <c:ser>
          <c:idx val="17"/>
          <c:order val="17"/>
          <c:tx>
            <c:v>Bis Apron</c:v>
          </c:tx>
          <c:spPr>
            <a:solidFill>
              <a:srgbClr val="D4A6C8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FUNGSIONAL!$D$22:$H$22</c:f>
              <c:numCache/>
            </c:numRef>
          </c:val>
        </c:ser>
        <c:ser>
          <c:idx val="18"/>
          <c:order val="18"/>
          <c:tx>
            <c:v>Kendaraan/Peralatan dan Mesin</c:v>
          </c:tx>
          <c:spPr>
            <a:solidFill>
              <a:srgbClr val="79706E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FUNGSIONAL!$D$23:$H$23</c:f>
              <c:numCache/>
            </c:numRef>
          </c:val>
        </c:ser>
        <c:ser>
          <c:idx val="19"/>
          <c:order val="19"/>
          <c:tx>
            <c:v>Sewa Kendaraan Bermotor Roda 4 atau lebih</c:v>
          </c:tx>
          <c:spPr>
            <a:solidFill>
              <a:srgbClr val="D7B5A6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FUNGSIONAL!$D$24:$H$24</c:f>
              <c:numCache/>
            </c:numRef>
          </c:val>
        </c:ser>
        <c:ser>
          <c:idx val="20"/>
          <c:order val="20"/>
          <c:tx>
            <c:v>Penggunaan X-RAY</c:v>
          </c:tx>
          <c:spPr>
            <a:solidFill>
              <a:srgbClr val="6B4C9A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FUNGSIONAL!$D$25:$H$25</c:f>
              <c:numCache/>
            </c:numRef>
          </c:val>
        </c:ser>
        <c:ser>
          <c:idx val="21"/>
          <c:order val="21"/>
          <c:tx>
            <c:v>Pemakaian Listrik</c:v>
          </c:tx>
          <c:spPr>
            <a:solidFill>
              <a:srgbClr val="C7C7C7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FUNGSIONAL!$D$26:$H$26</c:f>
              <c:numCache/>
            </c:numRef>
          </c:val>
        </c:ser>
        <c:ser>
          <c:idx val="22"/>
          <c:order val="22"/>
          <c:tx>
            <c:v>PAS Orang</c:v>
          </c:tx>
          <c:spPr>
            <a:solidFill>
              <a:srgbClr val="1B9E77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FUNGSIONAL!$D$27:$H$27</c:f>
              <c:numCache/>
            </c:numRef>
          </c:val>
        </c:ser>
        <c:ser>
          <c:idx val="23"/>
          <c:order val="23"/>
          <c:tx>
            <c:v>PAS TIM</c:v>
          </c:tx>
          <c:spPr>
            <a:solidFill>
              <a:srgbClr val="D95F02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FUNGSIONAL!$D$28:$H$28</c:f>
              <c:numCache/>
            </c:numRef>
          </c:val>
        </c:ser>
        <c:ser>
          <c:idx val="24"/>
          <c:order val="24"/>
          <c:tx>
            <c:v>Telekomunikasi</c:v>
          </c:tx>
          <c:spPr>
            <a:solidFill>
              <a:srgbClr val="7570B3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FUNGSIONAL!$D$29:$H$29</c:f>
              <c:numCache/>
            </c:numRef>
          </c:val>
        </c:ser>
        <c:ser>
          <c:idx val="25"/>
          <c:order val="25"/>
          <c:tx>
            <c:v>Pemakaian Air</c:v>
          </c:tx>
          <c:spPr>
            <a:solidFill>
              <a:srgbClr val="E7298A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FUNGSIONAL!$D$30:$H$30</c:f>
              <c:numCache/>
            </c:numRef>
          </c:val>
        </c:ser>
        <c:ser>
          <c:idx val="26"/>
          <c:order val="26"/>
          <c:tx>
            <c:v>Pemeriksaan Kargo dan Pos</c:v>
          </c:tx>
          <c:spPr>
            <a:solidFill>
              <a:srgbClr val="66A61E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FUNGSIONAL!$D$31:$H$31</c:f>
              <c:numCache/>
            </c:numRef>
          </c:val>
        </c:ser>
        <c:ser>
          <c:idx val="27"/>
          <c:order val="27"/>
          <c:tx>
            <c:v>Kegiatan Field Trip</c:v>
          </c:tx>
          <c:spPr>
            <a:solidFill>
              <a:srgbClr val="E6AB02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FUNGSIONAL!$D$32:$H$32</c:f>
              <c:numCache/>
            </c:numRef>
          </c:val>
        </c:ser>
        <c:ser>
          <c:idx val="28"/>
          <c:order val="28"/>
          <c:tx>
            <c:v>Bengkel Kendaraan Bermotor</c:v>
          </c:tx>
          <c:spPr>
            <a:solidFill>
              <a:srgbClr val="A6761D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FUNGSIONAL!$D$33:$H$33</c:f>
              <c:numCache/>
            </c:numRef>
          </c:val>
        </c:ser>
        <c:ser>
          <c:idx val="29"/>
          <c:order val="29"/>
          <c:tx>
            <c:v>Parkir Inap</c:v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FUNGSIONAL!$D$34:$H$34</c:f>
              <c:numCache/>
            </c:numRef>
          </c:val>
        </c:ser>
        <c:ser>
          <c:idx val="30"/>
          <c:order val="30"/>
          <c:tx>
            <c:v>Sewa Hanggar</c:v>
          </c:tx>
          <c:spPr>
            <a:solidFill>
              <a:srgbClr val="8DD3C7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FUNGSIONAL!$D$35:$H$35</c:f>
              <c:numCache/>
            </c:numRef>
          </c:val>
        </c:ser>
        <c:ser>
          <c:idx val="31"/>
          <c:order val="31"/>
          <c:tx>
            <c:v>Konsesi</c:v>
          </c:tx>
          <c:spPr>
            <a:solidFill>
              <a:srgbClr val="FB8072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FUNGSIONAL!$D$36:$H$36</c:f>
              <c:numCache/>
            </c:numRef>
          </c:val>
        </c:ser>
        <c:ser>
          <c:idx val="32"/>
          <c:order val="32"/>
          <c:tx>
            <c:v>Gedung/Bangunan</c:v>
          </c:tx>
          <c:spPr>
            <a:solidFill>
              <a:srgbClr val="80B1D3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FUNGSIONAL!$D$37:$H$37</c:f>
              <c:numCache/>
            </c:numRef>
          </c:val>
        </c:ser>
        <c:ser>
          <c:idx val="33"/>
          <c:order val="33"/>
          <c:tx>
            <c:v>Bunga Rekening BenPen</c:v>
          </c:tx>
          <c:spPr>
            <a:solidFill>
              <a:srgbClr val="FDB462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FUNGSIONAL!$D$38:$H$38</c:f>
              <c:numCache/>
            </c:numRef>
          </c:val>
        </c:ser>
        <c:ser>
          <c:idx val="34"/>
          <c:order val="34"/>
          <c:tx>
            <c:v>Pengembalian Belanja</c:v>
          </c:tx>
          <c:spPr>
            <a:solidFill>
              <a:srgbClr val="B3DE69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FUNGSIONAL!$D$39:$H$39</c:f>
              <c:numCache/>
            </c:numRef>
          </c:val>
        </c:ser>
        <c:ser>
          <c:idx val="35"/>
          <c:order val="35"/>
          <c:tx>
            <c:v>Jasa Pemasangan Reklame</c:v>
          </c:tx>
          <c:spPr>
            <a:solidFill>
              <a:srgbClr val="FCCDE5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FUNGSIONAL!$D$40:$H$40</c:f>
              <c:numCache/>
            </c:numRef>
          </c:val>
        </c:ser>
        <c:ser>
          <c:idx val="36"/>
          <c:order val="36"/>
          <c:tx>
            <c:v>Penggunaan Fasilitas dan Personil di Luar Jam Operasional Bandar Udara</c:v>
          </c:tx>
          <c:spPr>
            <a:solidFill>
              <a:srgbClr val="C9C9C9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FUNGSIONAL!$D$41:$H$41</c:f>
              <c:numCache/>
            </c:numRef>
          </c:val>
        </c:ser>
        <c:ser>
          <c:idx val="37"/>
          <c:order val="37"/>
          <c:tx>
            <c:v>PAS Kendaraan</c:v>
          </c:tx>
          <c:spPr>
            <a:solidFill>
              <a:srgbClr val="A65628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FUNGSIONAL!$D$42:$H$42</c:f>
              <c:numCache/>
            </c:numRef>
          </c:val>
        </c:ser>
        <c:ser>
          <c:idx val="38"/>
          <c:order val="38"/>
          <c:tx>
            <c:v>Bunga Rekening BenPeng</c:v>
          </c:tx>
          <c:spPr>
            <a:solidFill>
              <a:srgbClr val="F781BF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FUNGSIONAL!$D$43:$H$43</c:f>
              <c:numCache/>
            </c:numRef>
          </c:val>
        </c:ser>
        <c:ser>
          <c:idx val="39"/>
          <c:order val="39"/>
          <c:tx>
            <c:v>DENDA Pekerjaan Tahun lalu</c:v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FUNGSIONAL!$D$44:$H$44</c:f>
              <c:numCache/>
            </c:numRef>
          </c:val>
        </c:ser>
        <c:ser>
          <c:idx val="40"/>
          <c:order val="40"/>
          <c:tx>
            <c:v>Sewa Peralatan WORKSHOP</c:v>
          </c:tx>
          <c:spPr>
            <a:solidFill>
              <a:srgbClr val="4E79A7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FUNGSIONAL!$D$45:$H$45</c:f>
              <c:numCache/>
            </c:numRef>
          </c:val>
        </c:ser>
        <c:ser>
          <c:idx val="41"/>
          <c:order val="41"/>
          <c:tx>
            <c:v>Pendapatan Hibah Terkait Dalam Negeri-Lembaga/Badan Usaha - Uang</c:v>
          </c:tx>
          <c:spPr>
            <a:solidFill>
              <a:srgbClr val="59A14F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FUNGSIONAL!$D$46:$H$46</c:f>
              <c:numCache/>
            </c:numRef>
          </c:val>
        </c:ser>
        <c:ser>
          <c:idx val="42"/>
          <c:order val="42"/>
          <c:tx>
            <c:v>Sewa Ruang Rapat</c:v>
          </c:tx>
          <c:spPr>
            <a:solidFill>
              <a:srgbClr val="F28E2B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FUNGSIONAL!$D$47:$H$47</c:f>
              <c:numCache/>
            </c:numRef>
          </c:val>
        </c:ser>
        <c:ser>
          <c:idx val="43"/>
          <c:order val="43"/>
          <c:tx>
            <c:v>DENDA Pekerjaan Tahun ini</c:v>
          </c:tx>
          <c:spPr>
            <a:solidFill>
              <a:srgbClr val="E15759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FUNGSIONAL!$D$48:$H$48</c:f>
              <c:numCache/>
            </c:numRef>
          </c:val>
        </c:ser>
        <c:ser>
          <c:idx val="44"/>
          <c:order val="44"/>
          <c:tx>
            <c:v>Bunga Rekening PENERIMAAN</c:v>
          </c:tx>
          <c:spPr>
            <a:solidFill>
              <a:srgbClr val="76B7B2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FUNGSIONAL!$D$49:$H$49</c:f>
              <c:numCache/>
            </c:numRef>
          </c:val>
        </c:ser>
        <c:ser>
          <c:idx val="45"/>
          <c:order val="45"/>
          <c:tx>
            <c:v>Bunga Rekening PENGELUARAN</c:v>
          </c:tx>
          <c:spPr>
            <a:solidFill>
              <a:srgbClr val="EDC948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FUNGSIONAL!$D$50:$H$50</c:f>
              <c:numCache/>
            </c:numRef>
          </c:val>
        </c:ser>
        <c:ser>
          <c:idx val="46"/>
          <c:order val="46"/>
          <c:tx>
            <c:v>BUNGA Rekening DEPOSITO</c:v>
          </c:tx>
          <c:spPr>
            <a:solidFill>
              <a:srgbClr val="B07AA1"/>
            </a:solidFill>
            <a:ln cmpd="sng">
              <a:solidFill>
                <a:srgbClr val="000000"/>
              </a:solidFill>
            </a:ln>
          </c:spPr>
          <c:cat>
            <c:strRef>
              <c:f>FUNGSIONAL!$D$4:$H$4</c:f>
            </c:strRef>
          </c:cat>
          <c:val>
            <c:numRef>
              <c:f>FUNGSIONAL!$D$51:$H$51</c:f>
              <c:numCache/>
            </c:numRef>
          </c:val>
        </c:ser>
        <c:overlap val="100"/>
        <c:axId val="2030296649"/>
        <c:axId val="1854300178"/>
      </c:barChart>
      <c:catAx>
        <c:axId val="2030296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54300178"/>
      </c:catAx>
      <c:valAx>
        <c:axId val="1854300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Rp</a:t>
                </a:r>
              </a:p>
            </c:rich>
          </c:tx>
          <c:overlay val="0"/>
        </c:title>
        <c:numFmt formatCode="#,##0,,\M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3029664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Tren Realisasi Bulanan (2026)</a:t>
            </a:r>
          </a:p>
        </c:rich>
      </c:tx>
      <c:overlay val="0"/>
    </c:title>
    <c:plotArea>
      <c:layout/>
      <c:lineChart>
        <c:ser>
          <c:idx val="0"/>
          <c:order val="0"/>
          <c:tx>
            <c:v>Jasa Pendaratan Pesawat</c:v>
          </c:tx>
          <c:spPr>
            <a:ln cmpd="sng" w="19050">
              <a:solidFill>
                <a:srgbClr val="4E79A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FUNGSIONAL!$D$5:$H$5</c:f>
              <c:numCache/>
            </c:numRef>
          </c:val>
          <c:smooth val="1"/>
        </c:ser>
        <c:ser>
          <c:idx val="1"/>
          <c:order val="1"/>
          <c:tx>
            <c:v>Jasa Penempatan Pesawat</c:v>
          </c:tx>
          <c:spPr>
            <a:ln cmpd="sng" w="19050">
              <a:solidFill>
                <a:srgbClr val="59A1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FUNGSIONAL!$D$6:$H$6</c:f>
              <c:numCache/>
            </c:numRef>
          </c:val>
          <c:smooth val="1"/>
        </c:ser>
        <c:ser>
          <c:idx val="2"/>
          <c:order val="2"/>
          <c:tx>
            <c:v>Jasa Penyimpanan Pesawat</c:v>
          </c:tx>
          <c:spPr>
            <a:ln cmpd="sng" w="19050">
              <a:solidFill>
                <a:srgbClr val="F28E2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FUNGSIONAL!$D$7:$H$7</c:f>
              <c:numCache/>
            </c:numRef>
          </c:val>
          <c:smooth val="1"/>
        </c:ser>
        <c:ser>
          <c:idx val="3"/>
          <c:order val="3"/>
          <c:tx>
            <c:v>PJPC (counter)</c:v>
          </c:tx>
          <c:spPr>
            <a:ln cmpd="sng" w="19050">
              <a:solidFill>
                <a:srgbClr val="E1575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FUNGSIONAL!$D$8:$H$8</c:f>
              <c:numCache/>
            </c:numRef>
          </c:val>
          <c:smooth val="1"/>
        </c:ser>
        <c:ser>
          <c:idx val="4"/>
          <c:order val="4"/>
          <c:tx>
            <c:v>PJP2U</c:v>
          </c:tx>
          <c:spPr>
            <a:ln cmpd="sng" w="19050">
              <a:solidFill>
                <a:srgbClr val="76B7B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FUNGSIONAL!$D$9:$H$9</c:f>
              <c:numCache/>
            </c:numRef>
          </c:val>
          <c:smooth val="1"/>
        </c:ser>
        <c:ser>
          <c:idx val="5"/>
          <c:order val="5"/>
          <c:tx>
            <c:v>JKP2U (Jasa Layanan Kargo dan Pos Pesawat Udara)</c:v>
          </c:tx>
          <c:spPr>
            <a:ln cmpd="sng" w="19050">
              <a:solidFill>
                <a:srgbClr val="EDC9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FUNGSIONAL!$D$10:$H$10</c:f>
              <c:numCache/>
            </c:numRef>
          </c:val>
          <c:smooth val="1"/>
        </c:ser>
        <c:ser>
          <c:idx val="6"/>
          <c:order val="6"/>
          <c:tx>
            <c:v>Jasa Penggunaan Garbarata</c:v>
          </c:tx>
          <c:spPr>
            <a:ln cmpd="sng" w="19050">
              <a:solidFill>
                <a:srgbClr val="B07AA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FUNGSIONAL!$D$11:$H$11</c:f>
              <c:numCache/>
            </c:numRef>
          </c:val>
          <c:smooth val="1"/>
        </c:ser>
        <c:ser>
          <c:idx val="7"/>
          <c:order val="7"/>
          <c:tx>
            <c:v>EXTEND</c:v>
          </c:tx>
          <c:spPr>
            <a:ln cmpd="sng" w="19050">
              <a:solidFill>
                <a:srgbClr val="FF9DA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FUNGSIONAL!$D$12:$H$12</c:f>
              <c:numCache/>
            </c:numRef>
          </c:val>
          <c:smooth val="1"/>
        </c:ser>
        <c:ser>
          <c:idx val="8"/>
          <c:order val="8"/>
          <c:tx>
            <c:v>Penggunaan Bandara sebagai Bandara Alternatif</c:v>
          </c:tx>
          <c:spPr>
            <a:ln cmpd="sng" w="19050">
              <a:solidFill>
                <a:srgbClr val="9C755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FUNGSIONAL!$D$13:$H$13</c:f>
              <c:numCache/>
            </c:numRef>
          </c:val>
          <c:smooth val="1"/>
        </c:ser>
        <c:ser>
          <c:idx val="9"/>
          <c:order val="9"/>
          <c:tx>
            <c:v>Penanganan Jenazah</c:v>
          </c:tx>
          <c:spPr>
            <a:ln cmpd="sng" w="19050">
              <a:solidFill>
                <a:srgbClr val="BAB0A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FUNGSIONAL!$D$14:$H$14</c:f>
              <c:numCache/>
            </c:numRef>
          </c:val>
          <c:smooth val="1"/>
        </c:ser>
        <c:ser>
          <c:idx val="10"/>
          <c:order val="10"/>
          <c:tx>
            <c:v>JKP2U (Jasa Penyimpanan Kargo dan Pos Pesawat Udara)</c:v>
          </c:tx>
          <c:spPr>
            <a:ln cmpd="sng" w="19050">
              <a:solidFill>
                <a:srgbClr val="86BCB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FUNGSIONAL!$D$15:$H$15</c:f>
              <c:numCache/>
            </c:numRef>
          </c:val>
          <c:smooth val="1"/>
        </c:ser>
        <c:ser>
          <c:idx val="11"/>
          <c:order val="11"/>
          <c:tx>
            <c:v>Sewa Tanah - Penggunaan Lahan</c:v>
          </c:tx>
          <c:spPr>
            <a:ln cmpd="sng" w="19050">
              <a:solidFill>
                <a:srgbClr val="D3729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FUNGSIONAL!$D$16:$H$16</c:f>
              <c:numCache/>
            </c:numRef>
          </c:val>
          <c:smooth val="1"/>
        </c:ser>
        <c:ser>
          <c:idx val="12"/>
          <c:order val="12"/>
          <c:tx>
            <c:v>Sewa Ruangan</c:v>
          </c:tx>
          <c:spPr>
            <a:ln cmpd="sng" w="19050">
              <a:solidFill>
                <a:srgbClr val="A0CB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FUNGSIONAL!$D$17:$H$17</c:f>
              <c:numCache/>
            </c:numRef>
          </c:val>
          <c:smooth val="1"/>
        </c:ser>
        <c:ser>
          <c:idx val="13"/>
          <c:order val="13"/>
          <c:tx>
            <c:v>Penempatan Mesin ATM</c:v>
          </c:tx>
          <c:spPr>
            <a:ln cmpd="sng" w="19050">
              <a:solidFill>
                <a:srgbClr val="FFBE7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FUNGSIONAL!$D$18:$H$18</c:f>
              <c:numCache/>
            </c:numRef>
          </c:val>
          <c:smooth val="1"/>
        </c:ser>
        <c:ser>
          <c:idx val="14"/>
          <c:order val="14"/>
          <c:tx>
            <c:v>Pemotretan Shooting</c:v>
          </c:tx>
          <c:spPr>
            <a:ln cmpd="sng" w="19050">
              <a:solidFill>
                <a:srgbClr val="8CD17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FUNGSIONAL!$D$19:$H$19</c:f>
              <c:numCache/>
            </c:numRef>
          </c:val>
          <c:smooth val="1"/>
        </c:ser>
        <c:ser>
          <c:idx val="15"/>
          <c:order val="15"/>
          <c:tx>
            <c:v>Jasa Pemasangan Tiang Pancang Reklame</c:v>
          </c:tx>
          <c:spPr>
            <a:ln cmpd="sng" w="19050">
              <a:solidFill>
                <a:srgbClr val="B6992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FUNGSIONAL!$D$20:$H$20</c:f>
              <c:numCache/>
            </c:numRef>
          </c:val>
          <c:smooth val="1"/>
        </c:ser>
        <c:ser>
          <c:idx val="16"/>
          <c:order val="16"/>
          <c:tx>
            <c:v>Jasa Pemasangan Reklame</c:v>
          </c:tx>
          <c:spPr>
            <a:ln cmpd="sng" w="19050">
              <a:solidFill>
                <a:srgbClr val="49989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FUNGSIONAL!$D$21:$H$21</c:f>
              <c:numCache/>
            </c:numRef>
          </c:val>
          <c:smooth val="1"/>
        </c:ser>
        <c:ser>
          <c:idx val="17"/>
          <c:order val="17"/>
          <c:tx>
            <c:v>Bis Apron</c:v>
          </c:tx>
          <c:spPr>
            <a:ln cmpd="sng" w="19050">
              <a:solidFill>
                <a:srgbClr val="D4A6C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FUNGSIONAL!$D$22:$H$22</c:f>
              <c:numCache/>
            </c:numRef>
          </c:val>
          <c:smooth val="1"/>
        </c:ser>
        <c:ser>
          <c:idx val="18"/>
          <c:order val="18"/>
          <c:tx>
            <c:v>Kendaraan/Peralatan dan Mesin</c:v>
          </c:tx>
          <c:spPr>
            <a:ln cmpd="sng" w="19050">
              <a:solidFill>
                <a:srgbClr val="79706E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FUNGSIONAL!$D$23:$H$23</c:f>
              <c:numCache/>
            </c:numRef>
          </c:val>
          <c:smooth val="1"/>
        </c:ser>
        <c:ser>
          <c:idx val="19"/>
          <c:order val="19"/>
          <c:tx>
            <c:v>Sewa Kendaraan Bermotor Roda 4 atau lebih</c:v>
          </c:tx>
          <c:spPr>
            <a:ln cmpd="sng" w="19050">
              <a:solidFill>
                <a:srgbClr val="D7B5A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FUNGSIONAL!$D$24:$H$24</c:f>
              <c:numCache/>
            </c:numRef>
          </c:val>
          <c:smooth val="1"/>
        </c:ser>
        <c:ser>
          <c:idx val="20"/>
          <c:order val="20"/>
          <c:tx>
            <c:v>Penggunaan X-RAY</c:v>
          </c:tx>
          <c:spPr>
            <a:ln cmpd="sng" w="19050">
              <a:solidFill>
                <a:srgbClr val="6B4C9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FUNGSIONAL!$D$25:$H$25</c:f>
              <c:numCache/>
            </c:numRef>
          </c:val>
          <c:smooth val="1"/>
        </c:ser>
        <c:ser>
          <c:idx val="21"/>
          <c:order val="21"/>
          <c:tx>
            <c:v>Pemakaian Listrik</c:v>
          </c:tx>
          <c:spPr>
            <a:ln cmpd="sng" w="19050">
              <a:solidFill>
                <a:srgbClr val="C7C7C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FUNGSIONAL!$D$26:$H$26</c:f>
              <c:numCache/>
            </c:numRef>
          </c:val>
          <c:smooth val="1"/>
        </c:ser>
        <c:ser>
          <c:idx val="22"/>
          <c:order val="22"/>
          <c:tx>
            <c:v>PAS Orang</c:v>
          </c:tx>
          <c:spPr>
            <a:ln cmpd="sng" w="19050">
              <a:solidFill>
                <a:srgbClr val="1B9E7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FUNGSIONAL!$D$27:$H$27</c:f>
              <c:numCache/>
            </c:numRef>
          </c:val>
          <c:smooth val="1"/>
        </c:ser>
        <c:ser>
          <c:idx val="23"/>
          <c:order val="23"/>
          <c:tx>
            <c:v>PAS TIM</c:v>
          </c:tx>
          <c:spPr>
            <a:ln cmpd="sng" w="19050">
              <a:solidFill>
                <a:srgbClr val="D95F0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FUNGSIONAL!$D$28:$H$28</c:f>
              <c:numCache/>
            </c:numRef>
          </c:val>
          <c:smooth val="1"/>
        </c:ser>
        <c:ser>
          <c:idx val="24"/>
          <c:order val="24"/>
          <c:tx>
            <c:v>Telekomunikasi</c:v>
          </c:tx>
          <c:spPr>
            <a:ln cmpd="sng" w="19050">
              <a:solidFill>
                <a:srgbClr val="7570B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FUNGSIONAL!$D$29:$H$29</c:f>
              <c:numCache/>
            </c:numRef>
          </c:val>
          <c:smooth val="1"/>
        </c:ser>
        <c:ser>
          <c:idx val="25"/>
          <c:order val="25"/>
          <c:tx>
            <c:v>Pemakaian Air</c:v>
          </c:tx>
          <c:spPr>
            <a:ln cmpd="sng" w="19050">
              <a:solidFill>
                <a:srgbClr val="E7298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FUNGSIONAL!$D$30:$H$30</c:f>
              <c:numCache/>
            </c:numRef>
          </c:val>
          <c:smooth val="1"/>
        </c:ser>
        <c:ser>
          <c:idx val="26"/>
          <c:order val="26"/>
          <c:tx>
            <c:v>Pemeriksaan Kargo dan Pos</c:v>
          </c:tx>
          <c:spPr>
            <a:ln cmpd="sng" w="19050">
              <a:solidFill>
                <a:srgbClr val="66A61E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FUNGSIONAL!$D$31:$H$31</c:f>
              <c:numCache/>
            </c:numRef>
          </c:val>
          <c:smooth val="1"/>
        </c:ser>
        <c:ser>
          <c:idx val="27"/>
          <c:order val="27"/>
          <c:tx>
            <c:v>Kegiatan Field Trip</c:v>
          </c:tx>
          <c:spPr>
            <a:ln cmpd="sng" w="19050">
              <a:solidFill>
                <a:srgbClr val="E6AB0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FUNGSIONAL!$D$32:$H$32</c:f>
              <c:numCache/>
            </c:numRef>
          </c:val>
          <c:smooth val="1"/>
        </c:ser>
        <c:ser>
          <c:idx val="28"/>
          <c:order val="28"/>
          <c:tx>
            <c:v>Bengkel Kendaraan Bermotor</c:v>
          </c:tx>
          <c:spPr>
            <a:ln cmpd="sng" w="19050">
              <a:solidFill>
                <a:srgbClr val="A6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FUNGSIONAL!$D$33:$H$33</c:f>
              <c:numCache/>
            </c:numRef>
          </c:val>
          <c:smooth val="1"/>
        </c:ser>
        <c:ser>
          <c:idx val="29"/>
          <c:order val="29"/>
          <c:tx>
            <c:v>Parkir Inap</c:v>
          </c:tx>
          <c:spPr>
            <a:ln cmpd="sng" w="19050">
              <a:solidFill>
                <a:srgbClr val="6666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FUNGSIONAL!$D$34:$H$34</c:f>
              <c:numCache/>
            </c:numRef>
          </c:val>
          <c:smooth val="1"/>
        </c:ser>
        <c:ser>
          <c:idx val="30"/>
          <c:order val="30"/>
          <c:tx>
            <c:v>Sewa Hanggar</c:v>
          </c:tx>
          <c:spPr>
            <a:ln cmpd="sng" w="19050">
              <a:solidFill>
                <a:srgbClr val="8DD3C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FUNGSIONAL!$D$35:$H$35</c:f>
              <c:numCache/>
            </c:numRef>
          </c:val>
          <c:smooth val="1"/>
        </c:ser>
        <c:ser>
          <c:idx val="31"/>
          <c:order val="31"/>
          <c:tx>
            <c:v>Konsesi</c:v>
          </c:tx>
          <c:spPr>
            <a:ln cmpd="sng" w="19050">
              <a:solidFill>
                <a:srgbClr val="FB807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FUNGSIONAL!$D$36:$H$36</c:f>
              <c:numCache/>
            </c:numRef>
          </c:val>
          <c:smooth val="1"/>
        </c:ser>
        <c:ser>
          <c:idx val="32"/>
          <c:order val="32"/>
          <c:tx>
            <c:v>Gedung/Bangunan</c:v>
          </c:tx>
          <c:spPr>
            <a:ln cmpd="sng" w="19050">
              <a:solidFill>
                <a:srgbClr val="80B1D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FUNGSIONAL!$D$37:$H$37</c:f>
              <c:numCache/>
            </c:numRef>
          </c:val>
          <c:smooth val="1"/>
        </c:ser>
        <c:ser>
          <c:idx val="33"/>
          <c:order val="33"/>
          <c:tx>
            <c:v>Bunga Rekening BenPen</c:v>
          </c:tx>
          <c:spPr>
            <a:ln cmpd="sng" w="19050">
              <a:solidFill>
                <a:srgbClr val="FDB46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FUNGSIONAL!$D$38:$H$38</c:f>
              <c:numCache/>
            </c:numRef>
          </c:val>
          <c:smooth val="1"/>
        </c:ser>
        <c:ser>
          <c:idx val="34"/>
          <c:order val="34"/>
          <c:tx>
            <c:v>Pengembalian Belanja</c:v>
          </c:tx>
          <c:spPr>
            <a:ln cmpd="sng" w="19050">
              <a:solidFill>
                <a:srgbClr val="B3DE6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FUNGSIONAL!$D$39:$H$39</c:f>
              <c:numCache/>
            </c:numRef>
          </c:val>
          <c:smooth val="1"/>
        </c:ser>
        <c:ser>
          <c:idx val="35"/>
          <c:order val="35"/>
          <c:tx>
            <c:v>Jasa Pemasangan Reklame</c:v>
          </c:tx>
          <c:spPr>
            <a:ln cmpd="sng" w="19050">
              <a:solidFill>
                <a:srgbClr val="FCCDE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FUNGSIONAL!$D$40:$H$40</c:f>
              <c:numCache/>
            </c:numRef>
          </c:val>
          <c:smooth val="1"/>
        </c:ser>
        <c:ser>
          <c:idx val="36"/>
          <c:order val="36"/>
          <c:tx>
            <c:v>Penggunaan Fasilitas dan Personil di Luar Jam Operasional Bandar Udara</c:v>
          </c:tx>
          <c:spPr>
            <a:ln cmpd="sng" w="19050">
              <a:solidFill>
                <a:srgbClr val="C9C9C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FUNGSIONAL!$D$41:$H$41</c:f>
              <c:numCache/>
            </c:numRef>
          </c:val>
          <c:smooth val="1"/>
        </c:ser>
        <c:ser>
          <c:idx val="37"/>
          <c:order val="37"/>
          <c:tx>
            <c:v>PAS Kendaraan</c:v>
          </c:tx>
          <c:spPr>
            <a:ln cmpd="sng" w="19050">
              <a:solidFill>
                <a:srgbClr val="A6562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FUNGSIONAL!$D$42:$H$42</c:f>
              <c:numCache/>
            </c:numRef>
          </c:val>
          <c:smooth val="1"/>
        </c:ser>
        <c:ser>
          <c:idx val="38"/>
          <c:order val="38"/>
          <c:tx>
            <c:v>Bunga Rekening BenPeng</c:v>
          </c:tx>
          <c:spPr>
            <a:ln cmpd="sng" w="19050">
              <a:solidFill>
                <a:srgbClr val="F781B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FUNGSIONAL!$D$43:$H$43</c:f>
              <c:numCache/>
            </c:numRef>
          </c:val>
          <c:smooth val="1"/>
        </c:ser>
        <c:ser>
          <c:idx val="39"/>
          <c:order val="39"/>
          <c:tx>
            <c:v>DENDA Pekerjaan Tahun lalu</c:v>
          </c:tx>
          <c:spPr>
            <a:ln cmpd="sng" w="19050">
              <a:solidFill>
                <a:srgbClr val="9999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FUNGSIONAL!$D$44:$H$44</c:f>
              <c:numCache/>
            </c:numRef>
          </c:val>
          <c:smooth val="1"/>
        </c:ser>
        <c:ser>
          <c:idx val="40"/>
          <c:order val="40"/>
          <c:tx>
            <c:v>Sewa Peralatan WORKSHOP</c:v>
          </c:tx>
          <c:spPr>
            <a:ln cmpd="sng" w="19050">
              <a:solidFill>
                <a:srgbClr val="4E79A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FUNGSIONAL!$D$45:$H$45</c:f>
              <c:numCache/>
            </c:numRef>
          </c:val>
          <c:smooth val="1"/>
        </c:ser>
        <c:ser>
          <c:idx val="41"/>
          <c:order val="41"/>
          <c:tx>
            <c:v>Pendapatan Hibah Terkait Dalam Negeri-Lembaga/Badan Usaha - Uang</c:v>
          </c:tx>
          <c:spPr>
            <a:ln cmpd="sng" w="19050">
              <a:solidFill>
                <a:srgbClr val="59A1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FUNGSIONAL!$D$46:$H$46</c:f>
              <c:numCache/>
            </c:numRef>
          </c:val>
          <c:smooth val="1"/>
        </c:ser>
        <c:ser>
          <c:idx val="42"/>
          <c:order val="42"/>
          <c:tx>
            <c:v>Sewa Ruang Rapat</c:v>
          </c:tx>
          <c:spPr>
            <a:ln cmpd="sng" w="19050">
              <a:solidFill>
                <a:srgbClr val="F28E2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FUNGSIONAL!$D$47:$H$47</c:f>
              <c:numCache/>
            </c:numRef>
          </c:val>
          <c:smooth val="1"/>
        </c:ser>
        <c:ser>
          <c:idx val="43"/>
          <c:order val="43"/>
          <c:tx>
            <c:v>DENDA Pekerjaan Tahun ini</c:v>
          </c:tx>
          <c:spPr>
            <a:ln cmpd="sng" w="19050">
              <a:solidFill>
                <a:srgbClr val="E1575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FUNGSIONAL!$D$48:$H$48</c:f>
              <c:numCache/>
            </c:numRef>
          </c:val>
          <c:smooth val="1"/>
        </c:ser>
        <c:ser>
          <c:idx val="44"/>
          <c:order val="44"/>
          <c:tx>
            <c:v>Bunga Rekening PENERIMAAN</c:v>
          </c:tx>
          <c:spPr>
            <a:ln cmpd="sng" w="19050">
              <a:solidFill>
                <a:srgbClr val="76B7B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FUNGSIONAL!$D$49:$H$49</c:f>
              <c:numCache/>
            </c:numRef>
          </c:val>
          <c:smooth val="1"/>
        </c:ser>
        <c:ser>
          <c:idx val="45"/>
          <c:order val="45"/>
          <c:tx>
            <c:v>Bunga Rekening PENGELUARAN</c:v>
          </c:tx>
          <c:spPr>
            <a:ln cmpd="sng" w="19050">
              <a:solidFill>
                <a:srgbClr val="EDC9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FUNGSIONAL!$D$50:$H$50</c:f>
              <c:numCache/>
            </c:numRef>
          </c:val>
          <c:smooth val="1"/>
        </c:ser>
        <c:ser>
          <c:idx val="46"/>
          <c:order val="46"/>
          <c:tx>
            <c:v>BUNGA Rekening DEPOSITO</c:v>
          </c:tx>
          <c:spPr>
            <a:ln cmpd="sng" w="19050">
              <a:solidFill>
                <a:srgbClr val="B07AA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FUNGSIONAL!$D$4:$H$4</c:f>
            </c:strRef>
          </c:cat>
          <c:val>
            <c:numRef>
              <c:f>FUNGSIONAL!$D$51:$H$51</c:f>
              <c:numCache/>
            </c:numRef>
          </c:val>
          <c:smooth val="1"/>
        </c:ser>
        <c:axId val="1791176882"/>
        <c:axId val="229273408"/>
      </c:lineChart>
      <c:catAx>
        <c:axId val="1791176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29273408"/>
      </c:catAx>
      <c:valAx>
        <c:axId val="229273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Rp</a:t>
                </a:r>
              </a:p>
            </c:rich>
          </c:tx>
          <c:overlay val="0"/>
        </c:title>
        <c:numFmt formatCode="#,##0,,\M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9117688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Komposisi Realisasi Bulanan (2026)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Pendapatan dari Pemindahtanganan BMN Lainnya</c:v>
          </c:tx>
          <c:spPr>
            <a:solidFill>
              <a:srgbClr val="4E79A7"/>
            </a:solidFill>
            <a:ln cmpd="sng">
              <a:solidFill>
                <a:srgbClr val="000000"/>
              </a:solidFill>
            </a:ln>
          </c:spPr>
          <c:cat>
            <c:strRef>
              <c:f>'PNBP UMUM'!$C$4:$G$4</c:f>
            </c:strRef>
          </c:cat>
          <c:val>
            <c:numRef>
              <c:f>'PNBP UMUM'!$C$5:$G$5</c:f>
              <c:numCache/>
            </c:numRef>
          </c:val>
        </c:ser>
        <c:ser>
          <c:idx val="1"/>
          <c:order val="1"/>
          <c:tx>
            <c:v>Pendapatan Penggunaan Sarana dan Prasarana sesuai dengan Tusi</c:v>
          </c:tx>
          <c:spPr>
            <a:solidFill>
              <a:srgbClr val="59A14F"/>
            </a:solidFill>
            <a:ln cmpd="sng">
              <a:solidFill>
                <a:srgbClr val="000000"/>
              </a:solidFill>
            </a:ln>
          </c:spPr>
          <c:cat>
            <c:strRef>
              <c:f>'PNBP UMUM'!$C$4:$G$4</c:f>
            </c:strRef>
          </c:cat>
          <c:val>
            <c:numRef>
              <c:f>'PNBP UMUM'!$C$6:$G$6</c:f>
              <c:numCache/>
            </c:numRef>
          </c:val>
        </c:ser>
        <c:ser>
          <c:idx val="2"/>
          <c:order val="2"/>
          <c:tx>
            <c:v>Pendapatan Sewa Tanah, Gedung, dan Bangunan</c:v>
          </c:tx>
          <c:spPr>
            <a:solidFill>
              <a:srgbClr val="F28E2B"/>
            </a:solidFill>
            <a:ln cmpd="sng">
              <a:solidFill>
                <a:srgbClr val="000000"/>
              </a:solidFill>
            </a:ln>
          </c:spPr>
          <c:cat>
            <c:strRef>
              <c:f>'PNBP UMUM'!$C$4:$G$4</c:f>
            </c:strRef>
          </c:cat>
          <c:val>
            <c:numRef>
              <c:f>'PNBP UMUM'!$C$7:$G$7</c:f>
              <c:numCache/>
            </c:numRef>
          </c:val>
        </c:ser>
        <c:ser>
          <c:idx val="3"/>
          <c:order val="3"/>
          <c:tx>
            <c:v>Pendapatan Denda Penyelesaian Pekerjaan Pemerintah</c:v>
          </c:tx>
          <c:spPr>
            <a:solidFill>
              <a:srgbClr val="E15759"/>
            </a:solidFill>
            <a:ln cmpd="sng">
              <a:solidFill>
                <a:srgbClr val="000000"/>
              </a:solidFill>
            </a:ln>
          </c:spPr>
          <c:cat>
            <c:strRef>
              <c:f>'PNBP UMUM'!$C$4:$G$4</c:f>
            </c:strRef>
          </c:cat>
          <c:val>
            <c:numRef>
              <c:f>'PNBP UMUM'!$C$8:$G$8</c:f>
              <c:numCache/>
            </c:numRef>
          </c:val>
        </c:ser>
        <c:ser>
          <c:idx val="4"/>
          <c:order val="4"/>
          <c:tx>
            <c:v>Penerimaan Kembali Belanja Pegawai Tahun Anggaran Yang Lalu</c:v>
          </c:tx>
          <c:spPr>
            <a:solidFill>
              <a:srgbClr val="76B7B2"/>
            </a:solidFill>
            <a:ln cmpd="sng">
              <a:solidFill>
                <a:srgbClr val="000000"/>
              </a:solidFill>
            </a:ln>
          </c:spPr>
          <c:cat>
            <c:strRef>
              <c:f>'PNBP UMUM'!$C$4:$G$4</c:f>
            </c:strRef>
          </c:cat>
          <c:val>
            <c:numRef>
              <c:f>'PNBP UMUM'!$C$9:$G$9</c:f>
              <c:numCache/>
            </c:numRef>
          </c:val>
        </c:ser>
        <c:ser>
          <c:idx val="5"/>
          <c:order val="5"/>
          <c:tx>
            <c:v>Penerimaan Kembali Belanja Barang Anggaran Tahun Lalu</c:v>
          </c:tx>
          <c:spPr>
            <a:solidFill>
              <a:srgbClr val="EDC948"/>
            </a:solidFill>
            <a:ln cmpd="sng">
              <a:solidFill>
                <a:srgbClr val="000000"/>
              </a:solidFill>
            </a:ln>
          </c:spPr>
          <c:cat>
            <c:strRef>
              <c:f>'PNBP UMUM'!$C$4:$G$4</c:f>
            </c:strRef>
          </c:cat>
          <c:val>
            <c:numRef>
              <c:f>'PNBP UMUM'!$C$10:$G$10</c:f>
              <c:numCache/>
            </c:numRef>
          </c:val>
        </c:ser>
        <c:ser>
          <c:idx val="6"/>
          <c:order val="6"/>
          <c:tx>
            <c:v>Penerimaan Kembali Belanja Modal Tahun Anggaran Yang Lalu</c:v>
          </c:tx>
          <c:spPr>
            <a:solidFill>
              <a:srgbClr val="B07AA1"/>
            </a:solidFill>
            <a:ln cmpd="sng">
              <a:solidFill>
                <a:srgbClr val="000000"/>
              </a:solidFill>
            </a:ln>
          </c:spPr>
          <c:cat>
            <c:strRef>
              <c:f>'PNBP UMUM'!$C$4:$G$4</c:f>
            </c:strRef>
          </c:cat>
          <c:val>
            <c:numRef>
              <c:f>'PNBP UMUM'!$C$11:$G$11</c:f>
              <c:numCache/>
            </c:numRef>
          </c:val>
        </c:ser>
        <c:ser>
          <c:idx val="7"/>
          <c:order val="7"/>
          <c:tx>
            <c:v>Pendapatan Anggaran Lain-lain</c:v>
          </c:tx>
          <c:spPr>
            <a:solidFill>
              <a:srgbClr val="FF9DA7"/>
            </a:solidFill>
            <a:ln cmpd="sng">
              <a:solidFill>
                <a:srgbClr val="000000"/>
              </a:solidFill>
            </a:ln>
          </c:spPr>
          <c:cat>
            <c:strRef>
              <c:f>'PNBP UMUM'!$C$4:$G$4</c:f>
            </c:strRef>
          </c:cat>
          <c:val>
            <c:numRef>
              <c:f>'PNBP UMUM'!$C$12:$G$12</c:f>
              <c:numCache/>
            </c:numRef>
          </c:val>
        </c:ser>
        <c:overlap val="100"/>
        <c:axId val="1508098767"/>
        <c:axId val="412078056"/>
      </c:barChart>
      <c:catAx>
        <c:axId val="1508098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12078056"/>
      </c:catAx>
      <c:valAx>
        <c:axId val="412078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Rp</a:t>
                </a:r>
              </a:p>
            </c:rich>
          </c:tx>
          <c:overlay val="0"/>
        </c:title>
        <c:numFmt formatCode="#,##0,,\M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08098767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Tren Realisasi Bulanan (2026)</a:t>
            </a:r>
          </a:p>
        </c:rich>
      </c:tx>
      <c:overlay val="0"/>
    </c:title>
    <c:plotArea>
      <c:layout/>
      <c:lineChart>
        <c:ser>
          <c:idx val="0"/>
          <c:order val="0"/>
          <c:tx>
            <c:v>Pendapatan dari Pemindahtanganan BMN Lainnya</c:v>
          </c:tx>
          <c:spPr>
            <a:ln cmpd="sng" w="19050">
              <a:solidFill>
                <a:srgbClr val="4E79A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'PNBP UMUM'!$C$4:$G$4</c:f>
            </c:strRef>
          </c:cat>
          <c:val>
            <c:numRef>
              <c:f>'PNBP UMUM'!$C$5:$G$5</c:f>
              <c:numCache/>
            </c:numRef>
          </c:val>
          <c:smooth val="1"/>
        </c:ser>
        <c:ser>
          <c:idx val="1"/>
          <c:order val="1"/>
          <c:tx>
            <c:v>Pendapatan Penggunaan Sarana dan Prasarana sesuai dengan Tusi</c:v>
          </c:tx>
          <c:spPr>
            <a:ln cmpd="sng" w="19050">
              <a:solidFill>
                <a:srgbClr val="59A1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'PNBP UMUM'!$C$4:$G$4</c:f>
            </c:strRef>
          </c:cat>
          <c:val>
            <c:numRef>
              <c:f>'PNBP UMUM'!$C$6:$G$6</c:f>
              <c:numCache/>
            </c:numRef>
          </c:val>
          <c:smooth val="1"/>
        </c:ser>
        <c:ser>
          <c:idx val="2"/>
          <c:order val="2"/>
          <c:tx>
            <c:v>Pendapatan Sewa Tanah, Gedung, dan Bangunan</c:v>
          </c:tx>
          <c:spPr>
            <a:ln cmpd="sng" w="19050">
              <a:solidFill>
                <a:srgbClr val="F28E2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'PNBP UMUM'!$C$4:$G$4</c:f>
            </c:strRef>
          </c:cat>
          <c:val>
            <c:numRef>
              <c:f>'PNBP UMUM'!$C$7:$G$7</c:f>
              <c:numCache/>
            </c:numRef>
          </c:val>
          <c:smooth val="1"/>
        </c:ser>
        <c:ser>
          <c:idx val="3"/>
          <c:order val="3"/>
          <c:tx>
            <c:v>Pendapatan Denda Penyelesaian Pekerjaan Pemerintah</c:v>
          </c:tx>
          <c:spPr>
            <a:ln cmpd="sng" w="19050">
              <a:solidFill>
                <a:srgbClr val="E1575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'PNBP UMUM'!$C$4:$G$4</c:f>
            </c:strRef>
          </c:cat>
          <c:val>
            <c:numRef>
              <c:f>'PNBP UMUM'!$C$8:$G$8</c:f>
              <c:numCache/>
            </c:numRef>
          </c:val>
          <c:smooth val="1"/>
        </c:ser>
        <c:ser>
          <c:idx val="4"/>
          <c:order val="4"/>
          <c:tx>
            <c:v>Penerimaan Kembali Belanja Pegawai Tahun Anggaran Yang Lalu</c:v>
          </c:tx>
          <c:spPr>
            <a:ln cmpd="sng" w="19050">
              <a:solidFill>
                <a:srgbClr val="76B7B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'PNBP UMUM'!$C$4:$G$4</c:f>
            </c:strRef>
          </c:cat>
          <c:val>
            <c:numRef>
              <c:f>'PNBP UMUM'!$C$9:$G$9</c:f>
              <c:numCache/>
            </c:numRef>
          </c:val>
          <c:smooth val="1"/>
        </c:ser>
        <c:ser>
          <c:idx val="5"/>
          <c:order val="5"/>
          <c:tx>
            <c:v>Penerimaan Kembali Belanja Barang Anggaran Tahun Lalu</c:v>
          </c:tx>
          <c:spPr>
            <a:ln cmpd="sng" w="19050">
              <a:solidFill>
                <a:srgbClr val="EDC9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'PNBP UMUM'!$C$4:$G$4</c:f>
            </c:strRef>
          </c:cat>
          <c:val>
            <c:numRef>
              <c:f>'PNBP UMUM'!$C$10:$G$10</c:f>
              <c:numCache/>
            </c:numRef>
          </c:val>
          <c:smooth val="1"/>
        </c:ser>
        <c:ser>
          <c:idx val="6"/>
          <c:order val="6"/>
          <c:tx>
            <c:v>Penerimaan Kembali Belanja Modal Tahun Anggaran Yang Lalu</c:v>
          </c:tx>
          <c:spPr>
            <a:ln cmpd="sng" w="19050">
              <a:solidFill>
                <a:srgbClr val="B07AA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'PNBP UMUM'!$C$4:$G$4</c:f>
            </c:strRef>
          </c:cat>
          <c:val>
            <c:numRef>
              <c:f>'PNBP UMUM'!$C$11:$G$11</c:f>
              <c:numCache/>
            </c:numRef>
          </c:val>
          <c:smooth val="1"/>
        </c:ser>
        <c:ser>
          <c:idx val="7"/>
          <c:order val="7"/>
          <c:tx>
            <c:v>Pendapatan Anggaran Lain-lain</c:v>
          </c:tx>
          <c:spPr>
            <a:ln cmpd="sng" w="19050">
              <a:solidFill>
                <a:srgbClr val="FF9DA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'PNBP UMUM'!$C$4:$G$4</c:f>
            </c:strRef>
          </c:cat>
          <c:val>
            <c:numRef>
              <c:f>'PNBP UMUM'!$C$12:$G$12</c:f>
              <c:numCache/>
            </c:numRef>
          </c:val>
          <c:smooth val="1"/>
        </c:ser>
        <c:axId val="1400824210"/>
        <c:axId val="709817464"/>
      </c:lineChart>
      <c:catAx>
        <c:axId val="1400824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09817464"/>
      </c:catAx>
      <c:valAx>
        <c:axId val="709817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Rp</a:t>
                </a:r>
              </a:p>
            </c:rich>
          </c:tx>
          <c:overlay val="0"/>
        </c:title>
        <c:numFmt formatCode="#,##0,,\M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00824210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3</xdr:row>
      <xdr:rowOff>0</xdr:rowOff>
    </xdr:from>
    <xdr:ext cx="7553325" cy="4524375"/>
    <xdr:graphicFrame>
      <xdr:nvGraphicFramePr>
        <xdr:cNvPr id="118591804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29</xdr:row>
      <xdr:rowOff>0</xdr:rowOff>
    </xdr:from>
    <xdr:ext cx="7553325" cy="4524375"/>
    <xdr:graphicFrame>
      <xdr:nvGraphicFramePr>
        <xdr:cNvPr id="193700920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3</xdr:row>
      <xdr:rowOff>0</xdr:rowOff>
    </xdr:from>
    <xdr:ext cx="7553325" cy="4524375"/>
    <xdr:graphicFrame>
      <xdr:nvGraphicFramePr>
        <xdr:cNvPr id="204980552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29</xdr:row>
      <xdr:rowOff>0</xdr:rowOff>
    </xdr:from>
    <xdr:ext cx="7553325" cy="4524375"/>
    <xdr:graphicFrame>
      <xdr:nvGraphicFramePr>
        <xdr:cNvPr id="12939292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5.0"/>
    <col customWidth="1" min="2" max="2" width="46.0"/>
    <col customWidth="1" min="3" max="3" width="11.0"/>
    <col customWidth="1" min="4" max="8" width="13.0"/>
    <col customWidth="1" min="9" max="9" width="17.0"/>
    <col customWidth="1" min="10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>
      <c r="A5" s="6">
        <v>1.0</v>
      </c>
      <c r="B5" s="7" t="s">
        <v>11</v>
      </c>
      <c r="C5" s="8" t="s">
        <v>12</v>
      </c>
      <c r="D5" s="9">
        <v>1.166828E8</v>
      </c>
      <c r="E5" s="9">
        <v>9.78582E7</v>
      </c>
      <c r="F5" s="9">
        <v>8.06968E7</v>
      </c>
      <c r="G5" s="9">
        <v>1.056684E8</v>
      </c>
      <c r="H5" s="9">
        <v>9.85054E7</v>
      </c>
      <c r="I5" s="9">
        <f t="shared" ref="I5:I51" si="1">SUM(D5:H5)</f>
        <v>499411600</v>
      </c>
    </row>
    <row r="6">
      <c r="A6" s="10">
        <v>2.0</v>
      </c>
      <c r="B6" s="11" t="s">
        <v>13</v>
      </c>
      <c r="C6" s="8" t="s">
        <v>12</v>
      </c>
      <c r="D6" s="12">
        <v>1.493246E7</v>
      </c>
      <c r="E6" s="12">
        <v>1.321648E7</v>
      </c>
      <c r="F6" s="12">
        <v>1.05774E7</v>
      </c>
      <c r="G6" s="12">
        <v>2.01348E7</v>
      </c>
      <c r="H6" s="12">
        <v>1.6664162E7</v>
      </c>
      <c r="I6" s="12">
        <f t="shared" si="1"/>
        <v>75525302</v>
      </c>
    </row>
    <row r="7">
      <c r="A7" s="6">
        <v>3.0</v>
      </c>
      <c r="B7" s="7" t="s">
        <v>14</v>
      </c>
      <c r="C7" s="8" t="s">
        <v>12</v>
      </c>
      <c r="D7" s="9">
        <v>0.0</v>
      </c>
      <c r="E7" s="9">
        <v>0.0</v>
      </c>
      <c r="F7" s="9">
        <v>0.0</v>
      </c>
      <c r="G7" s="9">
        <v>0.0</v>
      </c>
      <c r="H7" s="9">
        <v>0.0</v>
      </c>
      <c r="I7" s="9">
        <f t="shared" si="1"/>
        <v>0</v>
      </c>
    </row>
    <row r="8">
      <c r="A8" s="10">
        <v>4.0</v>
      </c>
      <c r="B8" s="11" t="s">
        <v>15</v>
      </c>
      <c r="C8" s="8" t="s">
        <v>12</v>
      </c>
      <c r="D8" s="12">
        <v>8.92776E7</v>
      </c>
      <c r="E8" s="12">
        <v>9.9744E7</v>
      </c>
      <c r="F8" s="12">
        <v>2.99832E7</v>
      </c>
      <c r="G8" s="12">
        <v>1.023504E8</v>
      </c>
      <c r="H8" s="12">
        <v>5.66016E7</v>
      </c>
      <c r="I8" s="12">
        <f t="shared" si="1"/>
        <v>377956800</v>
      </c>
    </row>
    <row r="9">
      <c r="A9" s="6">
        <v>5.0</v>
      </c>
      <c r="B9" s="7" t="s">
        <v>16</v>
      </c>
      <c r="C9" s="8" t="s">
        <v>12</v>
      </c>
      <c r="D9" s="9">
        <v>1.439754E9</v>
      </c>
      <c r="E9" s="9">
        <v>2.12361024E9</v>
      </c>
      <c r="F9" s="9">
        <v>1.978674E9</v>
      </c>
      <c r="G9" s="9">
        <v>2.335236E9</v>
      </c>
      <c r="H9" s="9">
        <v>1.611288E9</v>
      </c>
      <c r="I9" s="9">
        <f t="shared" si="1"/>
        <v>9488562240</v>
      </c>
    </row>
    <row r="10">
      <c r="A10" s="10">
        <v>6.0</v>
      </c>
      <c r="B10" s="11" t="s">
        <v>17</v>
      </c>
      <c r="C10" s="8" t="s">
        <v>12</v>
      </c>
      <c r="D10" s="12">
        <v>3.6310752E7</v>
      </c>
      <c r="E10" s="12">
        <v>2.4802656E7</v>
      </c>
      <c r="F10" s="12">
        <v>3.2663808E7</v>
      </c>
      <c r="G10" s="12">
        <v>6.254342E7</v>
      </c>
      <c r="H10" s="12">
        <v>2.6618304E7</v>
      </c>
      <c r="I10" s="12">
        <f t="shared" si="1"/>
        <v>182938940</v>
      </c>
    </row>
    <row r="11">
      <c r="A11" s="6">
        <v>7.0</v>
      </c>
      <c r="B11" s="7" t="s">
        <v>18</v>
      </c>
      <c r="C11" s="8" t="s">
        <v>12</v>
      </c>
      <c r="D11" s="9">
        <v>6.216E7</v>
      </c>
      <c r="E11" s="9">
        <v>7.7E7</v>
      </c>
      <c r="F11" s="9">
        <v>2.352E7</v>
      </c>
      <c r="G11" s="9">
        <v>5.32E7</v>
      </c>
      <c r="H11" s="9">
        <v>5.936E7</v>
      </c>
      <c r="I11" s="9">
        <f t="shared" si="1"/>
        <v>275240000</v>
      </c>
    </row>
    <row r="12">
      <c r="A12" s="10">
        <v>8.0</v>
      </c>
      <c r="B12" s="11" t="s">
        <v>19</v>
      </c>
      <c r="C12" s="8" t="s">
        <v>12</v>
      </c>
      <c r="D12" s="12">
        <v>1950000.0</v>
      </c>
      <c r="E12" s="12">
        <v>1950000.0</v>
      </c>
      <c r="F12" s="12">
        <v>0.0</v>
      </c>
      <c r="G12" s="12">
        <v>3250000.0</v>
      </c>
      <c r="H12" s="12">
        <v>1950000.0</v>
      </c>
      <c r="I12" s="12">
        <f t="shared" si="1"/>
        <v>9100000</v>
      </c>
    </row>
    <row r="13">
      <c r="A13" s="6">
        <v>9.0</v>
      </c>
      <c r="B13" s="7" t="s">
        <v>20</v>
      </c>
      <c r="C13" s="8" t="s">
        <v>12</v>
      </c>
      <c r="D13" s="9">
        <v>0.0</v>
      </c>
      <c r="E13" s="9">
        <v>0.0</v>
      </c>
      <c r="F13" s="9">
        <v>0.0</v>
      </c>
      <c r="G13" s="9">
        <v>0.0</v>
      </c>
      <c r="H13" s="9">
        <v>0.0</v>
      </c>
      <c r="I13" s="9">
        <f t="shared" si="1"/>
        <v>0</v>
      </c>
    </row>
    <row r="14">
      <c r="A14" s="10">
        <v>10.0</v>
      </c>
      <c r="B14" s="11" t="s">
        <v>21</v>
      </c>
      <c r="C14" s="8" t="s">
        <v>12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f t="shared" si="1"/>
        <v>0</v>
      </c>
    </row>
    <row r="15">
      <c r="A15" s="6">
        <v>11.0</v>
      </c>
      <c r="B15" s="7" t="s">
        <v>22</v>
      </c>
      <c r="C15" s="8" t="s">
        <v>12</v>
      </c>
      <c r="D15" s="9">
        <v>3.6310752E7</v>
      </c>
      <c r="E15" s="9">
        <v>2.4802656E7</v>
      </c>
      <c r="F15" s="9">
        <v>3.2663808E7</v>
      </c>
      <c r="G15" s="9">
        <v>6.254342E7</v>
      </c>
      <c r="H15" s="9">
        <v>2.6618304E7</v>
      </c>
      <c r="I15" s="9">
        <f t="shared" si="1"/>
        <v>182938940</v>
      </c>
    </row>
    <row r="16">
      <c r="A16" s="10">
        <v>12.0</v>
      </c>
      <c r="B16" s="11" t="s">
        <v>23</v>
      </c>
      <c r="C16" s="13" t="s">
        <v>24</v>
      </c>
      <c r="D16" s="12">
        <v>7.785308E7</v>
      </c>
      <c r="E16" s="12">
        <v>8.492955E7</v>
      </c>
      <c r="F16" s="12">
        <v>1.1049341E8</v>
      </c>
      <c r="G16" s="12">
        <v>1.15403921E8</v>
      </c>
      <c r="H16" s="12">
        <v>7.216125E7</v>
      </c>
      <c r="I16" s="12">
        <f t="shared" si="1"/>
        <v>460841211</v>
      </c>
    </row>
    <row r="17">
      <c r="A17" s="6">
        <v>13.0</v>
      </c>
      <c r="B17" s="7" t="s">
        <v>25</v>
      </c>
      <c r="C17" s="13" t="s">
        <v>24</v>
      </c>
      <c r="D17" s="9">
        <v>9.4138917E7</v>
      </c>
      <c r="E17" s="9">
        <v>1.73365065E8</v>
      </c>
      <c r="F17" s="9">
        <v>2.19039255E8</v>
      </c>
      <c r="G17" s="9">
        <v>1.54162068E8</v>
      </c>
      <c r="H17" s="9">
        <v>1.34120065E8</v>
      </c>
      <c r="I17" s="9">
        <f t="shared" si="1"/>
        <v>774825370</v>
      </c>
    </row>
    <row r="18">
      <c r="A18" s="10">
        <v>14.0</v>
      </c>
      <c r="B18" s="11" t="s">
        <v>26</v>
      </c>
      <c r="C18" s="13" t="s">
        <v>24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f t="shared" si="1"/>
        <v>0</v>
      </c>
    </row>
    <row r="19">
      <c r="A19" s="6">
        <v>15.0</v>
      </c>
      <c r="B19" s="7" t="s">
        <v>27</v>
      </c>
      <c r="C19" s="13" t="s">
        <v>24</v>
      </c>
      <c r="D19" s="9">
        <v>0.0</v>
      </c>
      <c r="E19" s="9">
        <v>0.0</v>
      </c>
      <c r="F19" s="9">
        <v>0.0</v>
      </c>
      <c r="G19" s="9">
        <v>0.0</v>
      </c>
      <c r="H19" s="9">
        <v>0.0</v>
      </c>
      <c r="I19" s="9">
        <f t="shared" si="1"/>
        <v>0</v>
      </c>
    </row>
    <row r="20">
      <c r="A20" s="10">
        <v>16.0</v>
      </c>
      <c r="B20" s="11" t="s">
        <v>28</v>
      </c>
      <c r="C20" s="13" t="s">
        <v>24</v>
      </c>
      <c r="D20" s="12">
        <v>0.0</v>
      </c>
      <c r="E20" s="12">
        <v>0.0</v>
      </c>
      <c r="F20" s="12">
        <v>0.0</v>
      </c>
      <c r="G20" s="12">
        <v>0.0</v>
      </c>
      <c r="H20" s="12">
        <v>0.0</v>
      </c>
      <c r="I20" s="12">
        <f t="shared" si="1"/>
        <v>0</v>
      </c>
    </row>
    <row r="21" ht="15.75" customHeight="1">
      <c r="A21" s="6">
        <v>17.0</v>
      </c>
      <c r="B21" s="7" t="s">
        <v>29</v>
      </c>
      <c r="C21" s="13" t="s">
        <v>24</v>
      </c>
      <c r="D21" s="9">
        <v>0.0</v>
      </c>
      <c r="E21" s="9">
        <v>0.0</v>
      </c>
      <c r="F21" s="9">
        <v>0.0</v>
      </c>
      <c r="G21" s="9">
        <v>0.0</v>
      </c>
      <c r="H21" s="9">
        <v>0.0</v>
      </c>
      <c r="I21" s="9">
        <f t="shared" si="1"/>
        <v>0</v>
      </c>
    </row>
    <row r="22" ht="15.75" customHeight="1">
      <c r="A22" s="10">
        <v>18.0</v>
      </c>
      <c r="B22" s="11" t="s">
        <v>30</v>
      </c>
      <c r="C22" s="13" t="s">
        <v>24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f t="shared" si="1"/>
        <v>0</v>
      </c>
    </row>
    <row r="23" ht="15.75" customHeight="1">
      <c r="A23" s="6">
        <v>19.0</v>
      </c>
      <c r="B23" s="7" t="s">
        <v>31</v>
      </c>
      <c r="C23" s="13" t="s">
        <v>24</v>
      </c>
      <c r="D23" s="9">
        <v>1735000.0</v>
      </c>
      <c r="E23" s="9">
        <v>1735000.0</v>
      </c>
      <c r="F23" s="9">
        <v>1735000.0</v>
      </c>
      <c r="G23" s="9">
        <v>1735000.0</v>
      </c>
      <c r="H23" s="9">
        <v>1735000.0</v>
      </c>
      <c r="I23" s="9">
        <f t="shared" si="1"/>
        <v>8675000</v>
      </c>
    </row>
    <row r="24" ht="15.75" customHeight="1">
      <c r="A24" s="10">
        <v>20.0</v>
      </c>
      <c r="B24" s="11" t="s">
        <v>32</v>
      </c>
      <c r="C24" s="13" t="s">
        <v>24</v>
      </c>
      <c r="D24" s="12">
        <v>900000.0</v>
      </c>
      <c r="E24" s="12">
        <v>0.0</v>
      </c>
      <c r="F24" s="12">
        <v>0.0</v>
      </c>
      <c r="G24" s="12">
        <v>0.0</v>
      </c>
      <c r="H24" s="12">
        <v>0.0</v>
      </c>
      <c r="I24" s="12">
        <f t="shared" si="1"/>
        <v>900000</v>
      </c>
    </row>
    <row r="25" ht="15.75" customHeight="1">
      <c r="A25" s="6">
        <v>21.0</v>
      </c>
      <c r="B25" s="7" t="s">
        <v>33</v>
      </c>
      <c r="C25" s="13" t="s">
        <v>24</v>
      </c>
      <c r="D25" s="9">
        <v>2.1855E7</v>
      </c>
      <c r="E25" s="9">
        <v>2.1855E7</v>
      </c>
      <c r="F25" s="9">
        <v>1.974E7</v>
      </c>
      <c r="G25" s="9">
        <v>2.1855E7</v>
      </c>
      <c r="H25" s="9">
        <v>2.115E7</v>
      </c>
      <c r="I25" s="9">
        <f t="shared" si="1"/>
        <v>106455000</v>
      </c>
    </row>
    <row r="26" ht="15.75" customHeight="1">
      <c r="A26" s="10">
        <v>22.0</v>
      </c>
      <c r="B26" s="11" t="s">
        <v>34</v>
      </c>
      <c r="C26" s="13" t="s">
        <v>24</v>
      </c>
      <c r="D26" s="12">
        <v>1.2722939E8</v>
      </c>
      <c r="E26" s="12">
        <v>1.102206E8</v>
      </c>
      <c r="F26" s="12">
        <v>1.19929539E8</v>
      </c>
      <c r="G26" s="12">
        <v>1.28130767E8</v>
      </c>
      <c r="H26" s="12">
        <v>1.18711519E8</v>
      </c>
      <c r="I26" s="12">
        <f t="shared" si="1"/>
        <v>604221815</v>
      </c>
    </row>
    <row r="27" ht="15.75" customHeight="1">
      <c r="A27" s="6">
        <v>23.0</v>
      </c>
      <c r="B27" s="7" t="s">
        <v>35</v>
      </c>
      <c r="C27" s="13" t="s">
        <v>24</v>
      </c>
      <c r="D27" s="9">
        <v>4.3535E7</v>
      </c>
      <c r="E27" s="9">
        <v>3.3326E7</v>
      </c>
      <c r="F27" s="9">
        <v>2.393E7</v>
      </c>
      <c r="G27" s="9">
        <v>2.096E7</v>
      </c>
      <c r="H27" s="9">
        <v>3.7485E7</v>
      </c>
      <c r="I27" s="9">
        <f t="shared" si="1"/>
        <v>159236000</v>
      </c>
    </row>
    <row r="28" ht="15.75" customHeight="1">
      <c r="A28" s="10">
        <v>24.0</v>
      </c>
      <c r="B28" s="11" t="s">
        <v>36</v>
      </c>
      <c r="C28" s="13" t="s">
        <v>24</v>
      </c>
      <c r="D28" s="12">
        <v>0.0</v>
      </c>
      <c r="E28" s="12">
        <v>0.0</v>
      </c>
      <c r="F28" s="12">
        <v>0.0</v>
      </c>
      <c r="G28" s="12">
        <v>0.0</v>
      </c>
      <c r="H28" s="12">
        <v>0.0</v>
      </c>
      <c r="I28" s="12">
        <f t="shared" si="1"/>
        <v>0</v>
      </c>
    </row>
    <row r="29" ht="15.75" customHeight="1">
      <c r="A29" s="6">
        <v>25.0</v>
      </c>
      <c r="B29" s="7" t="s">
        <v>37</v>
      </c>
      <c r="C29" s="13" t="s">
        <v>24</v>
      </c>
      <c r="D29" s="9">
        <v>3832880.0</v>
      </c>
      <c r="E29" s="9">
        <v>0.0</v>
      </c>
      <c r="F29" s="9">
        <v>0.0</v>
      </c>
      <c r="G29" s="9">
        <v>0.0</v>
      </c>
      <c r="H29" s="9">
        <v>0.0</v>
      </c>
      <c r="I29" s="9">
        <f t="shared" si="1"/>
        <v>3832880</v>
      </c>
    </row>
    <row r="30" ht="15.75" customHeight="1">
      <c r="A30" s="10">
        <v>26.0</v>
      </c>
      <c r="B30" s="11" t="s">
        <v>38</v>
      </c>
      <c r="C30" s="13" t="s">
        <v>24</v>
      </c>
      <c r="D30" s="12">
        <v>2.2629074E7</v>
      </c>
      <c r="E30" s="12">
        <v>1.6602018E7</v>
      </c>
      <c r="F30" s="12">
        <v>1.4598188E7</v>
      </c>
      <c r="G30" s="12">
        <v>1.531619E7</v>
      </c>
      <c r="H30" s="12">
        <v>1.5317519E7</v>
      </c>
      <c r="I30" s="12">
        <f t="shared" si="1"/>
        <v>84462989</v>
      </c>
    </row>
    <row r="31" ht="15.75" customHeight="1">
      <c r="A31" s="6">
        <v>27.0</v>
      </c>
      <c r="B31" s="7" t="s">
        <v>39</v>
      </c>
      <c r="C31" s="13" t="s">
        <v>24</v>
      </c>
      <c r="D31" s="9">
        <v>2.3914E7</v>
      </c>
      <c r="E31" s="9">
        <v>7732450.0</v>
      </c>
      <c r="F31" s="9">
        <v>1.899766E7</v>
      </c>
      <c r="G31" s="9">
        <v>3.7511315E7</v>
      </c>
      <c r="H31" s="9">
        <v>2.1394626E7</v>
      </c>
      <c r="I31" s="9">
        <f t="shared" si="1"/>
        <v>109550051</v>
      </c>
    </row>
    <row r="32" ht="15.75" customHeight="1">
      <c r="A32" s="10">
        <v>28.0</v>
      </c>
      <c r="B32" s="11" t="s">
        <v>40</v>
      </c>
      <c r="C32" s="13" t="s">
        <v>24</v>
      </c>
      <c r="D32" s="12">
        <v>0.0</v>
      </c>
      <c r="E32" s="12">
        <v>2765000.0</v>
      </c>
      <c r="F32" s="12">
        <v>0.0</v>
      </c>
      <c r="G32" s="12">
        <v>2750000.0</v>
      </c>
      <c r="H32" s="12">
        <v>6160000.0</v>
      </c>
      <c r="I32" s="12">
        <f t="shared" si="1"/>
        <v>11675000</v>
      </c>
    </row>
    <row r="33" ht="15.75" customHeight="1">
      <c r="A33" s="6">
        <v>29.0</v>
      </c>
      <c r="B33" s="7" t="s">
        <v>41</v>
      </c>
      <c r="C33" s="13" t="s">
        <v>24</v>
      </c>
      <c r="D33" s="9">
        <v>0.0</v>
      </c>
      <c r="E33" s="9">
        <v>0.0</v>
      </c>
      <c r="F33" s="9">
        <v>0.0</v>
      </c>
      <c r="G33" s="9">
        <v>0.0</v>
      </c>
      <c r="H33" s="9">
        <v>0.0</v>
      </c>
      <c r="I33" s="9">
        <f t="shared" si="1"/>
        <v>0</v>
      </c>
    </row>
    <row r="34" ht="15.75" customHeight="1">
      <c r="A34" s="10">
        <v>30.0</v>
      </c>
      <c r="B34" s="11" t="s">
        <v>42</v>
      </c>
      <c r="C34" s="13" t="s">
        <v>24</v>
      </c>
      <c r="D34" s="12">
        <v>0.0</v>
      </c>
      <c r="E34" s="12">
        <v>0.0</v>
      </c>
      <c r="F34" s="12">
        <v>0.0</v>
      </c>
      <c r="G34" s="12">
        <v>0.0</v>
      </c>
      <c r="H34" s="12">
        <v>0.0</v>
      </c>
      <c r="I34" s="12">
        <f t="shared" si="1"/>
        <v>0</v>
      </c>
    </row>
    <row r="35" ht="15.75" customHeight="1">
      <c r="A35" s="6">
        <v>31.0</v>
      </c>
      <c r="B35" s="7" t="s">
        <v>43</v>
      </c>
      <c r="C35" s="13" t="s">
        <v>24</v>
      </c>
      <c r="D35" s="9">
        <v>0.0</v>
      </c>
      <c r="E35" s="9">
        <v>0.0</v>
      </c>
      <c r="F35" s="9">
        <v>0.0</v>
      </c>
      <c r="G35" s="9">
        <v>117576.0</v>
      </c>
      <c r="H35" s="9">
        <v>88182.0</v>
      </c>
      <c r="I35" s="9">
        <f t="shared" si="1"/>
        <v>205758</v>
      </c>
    </row>
    <row r="36" ht="15.75" customHeight="1">
      <c r="A36" s="10">
        <v>32.0</v>
      </c>
      <c r="B36" s="11" t="s">
        <v>44</v>
      </c>
      <c r="C36" s="13" t="s">
        <v>24</v>
      </c>
      <c r="D36" s="12">
        <v>4.09189571E8</v>
      </c>
      <c r="E36" s="12">
        <v>3.24793574E8</v>
      </c>
      <c r="F36" s="12">
        <v>3.36496733E8</v>
      </c>
      <c r="G36" s="12">
        <v>3.61809955E8</v>
      </c>
      <c r="H36" s="12">
        <v>2.97467185E8</v>
      </c>
      <c r="I36" s="12">
        <f t="shared" si="1"/>
        <v>1729757018</v>
      </c>
    </row>
    <row r="37" ht="15.75" customHeight="1">
      <c r="A37" s="6">
        <v>33.0</v>
      </c>
      <c r="B37" s="7" t="s">
        <v>45</v>
      </c>
      <c r="C37" s="13" t="s">
        <v>24</v>
      </c>
      <c r="D37" s="9">
        <v>0.0</v>
      </c>
      <c r="E37" s="9">
        <v>0.0</v>
      </c>
      <c r="F37" s="9">
        <v>0.0</v>
      </c>
      <c r="G37" s="9">
        <v>0.0</v>
      </c>
      <c r="H37" s="9">
        <v>0.0</v>
      </c>
      <c r="I37" s="9">
        <f t="shared" si="1"/>
        <v>0</v>
      </c>
    </row>
    <row r="38" ht="15.75" customHeight="1">
      <c r="A38" s="10">
        <v>34.0</v>
      </c>
      <c r="B38" s="11" t="s">
        <v>46</v>
      </c>
      <c r="C38" s="13" t="s">
        <v>24</v>
      </c>
      <c r="D38" s="12">
        <v>0.0</v>
      </c>
      <c r="E38" s="12">
        <v>0.0</v>
      </c>
      <c r="F38" s="12">
        <v>0.0</v>
      </c>
      <c r="G38" s="12">
        <v>0.0</v>
      </c>
      <c r="H38" s="12">
        <v>0.0</v>
      </c>
      <c r="I38" s="12">
        <f t="shared" si="1"/>
        <v>0</v>
      </c>
    </row>
    <row r="39" ht="15.75" customHeight="1">
      <c r="A39" s="6">
        <v>35.0</v>
      </c>
      <c r="B39" s="7" t="s">
        <v>47</v>
      </c>
      <c r="C39" s="13" t="s">
        <v>24</v>
      </c>
      <c r="D39" s="9">
        <v>0.0</v>
      </c>
      <c r="E39" s="9">
        <v>0.0</v>
      </c>
      <c r="F39" s="9">
        <v>0.0</v>
      </c>
      <c r="G39" s="9">
        <v>0.0</v>
      </c>
      <c r="H39" s="9">
        <v>0.0</v>
      </c>
      <c r="I39" s="9">
        <f t="shared" si="1"/>
        <v>0</v>
      </c>
    </row>
    <row r="40" ht="15.75" customHeight="1">
      <c r="A40" s="10">
        <v>36.0</v>
      </c>
      <c r="B40" s="11" t="s">
        <v>29</v>
      </c>
      <c r="C40" s="13" t="s">
        <v>24</v>
      </c>
      <c r="D40" s="12">
        <v>7615040.0</v>
      </c>
      <c r="E40" s="12">
        <v>2.4326208E7</v>
      </c>
      <c r="F40" s="12">
        <v>2.631936E7</v>
      </c>
      <c r="G40" s="12">
        <v>2.5098387E7</v>
      </c>
      <c r="H40" s="12">
        <v>1.624032E7</v>
      </c>
      <c r="I40" s="12">
        <f t="shared" si="1"/>
        <v>99599315</v>
      </c>
    </row>
    <row r="41" ht="15.75" customHeight="1">
      <c r="A41" s="6">
        <v>37.0</v>
      </c>
      <c r="B41" s="7" t="s">
        <v>48</v>
      </c>
      <c r="C41" s="13" t="s">
        <v>24</v>
      </c>
      <c r="D41" s="9">
        <v>5250000.0</v>
      </c>
      <c r="E41" s="9">
        <v>5250000.0</v>
      </c>
      <c r="F41" s="9">
        <v>0.0</v>
      </c>
      <c r="G41" s="9">
        <v>8750000.0</v>
      </c>
      <c r="H41" s="9">
        <v>5250000.0</v>
      </c>
      <c r="I41" s="9">
        <f t="shared" si="1"/>
        <v>24500000</v>
      </c>
    </row>
    <row r="42" ht="15.75" customHeight="1">
      <c r="A42" s="10">
        <v>38.0</v>
      </c>
      <c r="B42" s="11" t="s">
        <v>49</v>
      </c>
      <c r="C42" s="13" t="s">
        <v>24</v>
      </c>
      <c r="D42" s="12">
        <v>0.0</v>
      </c>
      <c r="E42" s="12">
        <v>0.0</v>
      </c>
      <c r="F42" s="12">
        <v>0.0</v>
      </c>
      <c r="G42" s="12">
        <v>0.0</v>
      </c>
      <c r="H42" s="12">
        <v>300000.0</v>
      </c>
      <c r="I42" s="12">
        <f t="shared" si="1"/>
        <v>300000</v>
      </c>
    </row>
    <row r="43" ht="15.75" customHeight="1">
      <c r="A43" s="6">
        <v>39.0</v>
      </c>
      <c r="B43" s="7" t="s">
        <v>50</v>
      </c>
      <c r="C43" s="13" t="s">
        <v>24</v>
      </c>
      <c r="D43" s="9">
        <v>0.0</v>
      </c>
      <c r="E43" s="9">
        <v>0.0</v>
      </c>
      <c r="F43" s="9">
        <v>0.0</v>
      </c>
      <c r="G43" s="9">
        <v>0.0</v>
      </c>
      <c r="H43" s="9">
        <v>0.0</v>
      </c>
      <c r="I43" s="9">
        <f t="shared" si="1"/>
        <v>0</v>
      </c>
    </row>
    <row r="44" ht="15.75" customHeight="1">
      <c r="A44" s="10">
        <v>40.0</v>
      </c>
      <c r="B44" s="11" t="s">
        <v>51</v>
      </c>
      <c r="C44" s="13" t="s">
        <v>24</v>
      </c>
      <c r="D44" s="12">
        <v>0.0</v>
      </c>
      <c r="E44" s="12">
        <v>0.0</v>
      </c>
      <c r="F44" s="12">
        <v>0.0</v>
      </c>
      <c r="G44" s="12">
        <v>0.0</v>
      </c>
      <c r="H44" s="12">
        <v>0.0</v>
      </c>
      <c r="I44" s="12">
        <f t="shared" si="1"/>
        <v>0</v>
      </c>
    </row>
    <row r="45" ht="15.75" customHeight="1">
      <c r="A45" s="6">
        <v>41.0</v>
      </c>
      <c r="B45" s="7" t="s">
        <v>52</v>
      </c>
      <c r="C45" s="13" t="s">
        <v>24</v>
      </c>
      <c r="D45" s="9">
        <v>1.1067E7</v>
      </c>
      <c r="E45" s="9">
        <v>235000.0</v>
      </c>
      <c r="F45" s="9">
        <v>4743000.0</v>
      </c>
      <c r="G45" s="9">
        <v>7905000.0</v>
      </c>
      <c r="H45" s="9">
        <v>0.0</v>
      </c>
      <c r="I45" s="9">
        <f t="shared" si="1"/>
        <v>23950000</v>
      </c>
    </row>
    <row r="46" ht="15.75" customHeight="1">
      <c r="A46" s="10">
        <v>42.0</v>
      </c>
      <c r="B46" s="11" t="s">
        <v>53</v>
      </c>
      <c r="C46" s="13" t="s">
        <v>24</v>
      </c>
      <c r="D46" s="12">
        <v>0.0</v>
      </c>
      <c r="E46" s="12">
        <v>0.0</v>
      </c>
      <c r="F46" s="12">
        <v>0.0</v>
      </c>
      <c r="G46" s="12">
        <v>0.0</v>
      </c>
      <c r="H46" s="12">
        <v>0.0</v>
      </c>
      <c r="I46" s="12">
        <f t="shared" si="1"/>
        <v>0</v>
      </c>
    </row>
    <row r="47" ht="15.75" customHeight="1">
      <c r="A47" s="6">
        <v>43.0</v>
      </c>
      <c r="B47" s="7" t="s">
        <v>54</v>
      </c>
      <c r="C47" s="13" t="s">
        <v>24</v>
      </c>
      <c r="D47" s="9">
        <v>0.0</v>
      </c>
      <c r="E47" s="9">
        <v>0.0</v>
      </c>
      <c r="F47" s="9">
        <v>0.0</v>
      </c>
      <c r="G47" s="9">
        <v>0.0</v>
      </c>
      <c r="H47" s="9">
        <v>0.0</v>
      </c>
      <c r="I47" s="9">
        <f t="shared" si="1"/>
        <v>0</v>
      </c>
    </row>
    <row r="48" ht="15.75" customHeight="1">
      <c r="A48" s="10">
        <v>44.0</v>
      </c>
      <c r="B48" s="11" t="s">
        <v>55</v>
      </c>
      <c r="C48" s="13" t="s">
        <v>24</v>
      </c>
      <c r="D48" s="12">
        <v>0.0</v>
      </c>
      <c r="E48" s="12">
        <v>0.0</v>
      </c>
      <c r="F48" s="12">
        <v>0.0</v>
      </c>
      <c r="G48" s="12">
        <v>0.0</v>
      </c>
      <c r="H48" s="12">
        <v>0.0</v>
      </c>
      <c r="I48" s="12">
        <f t="shared" si="1"/>
        <v>0</v>
      </c>
    </row>
    <row r="49" ht="15.75" customHeight="1">
      <c r="A49" s="6">
        <v>45.0</v>
      </c>
      <c r="B49" s="7" t="s">
        <v>56</v>
      </c>
      <c r="C49" s="13" t="s">
        <v>24</v>
      </c>
      <c r="D49" s="9">
        <v>8796247.0</v>
      </c>
      <c r="E49" s="9">
        <v>9079492.0</v>
      </c>
      <c r="F49" s="9">
        <v>1.0366573E7</v>
      </c>
      <c r="G49" s="9">
        <v>1.1007998E7</v>
      </c>
      <c r="H49" s="9">
        <v>0.0</v>
      </c>
      <c r="I49" s="9">
        <f t="shared" si="1"/>
        <v>39250310</v>
      </c>
    </row>
    <row r="50" ht="15.75" customHeight="1">
      <c r="A50" s="10">
        <v>46.0</v>
      </c>
      <c r="B50" s="11" t="s">
        <v>57</v>
      </c>
      <c r="C50" s="13" t="s">
        <v>24</v>
      </c>
      <c r="D50" s="12">
        <v>0.0</v>
      </c>
      <c r="E50" s="12">
        <v>0.0</v>
      </c>
      <c r="F50" s="12">
        <v>0.0</v>
      </c>
      <c r="G50" s="12">
        <v>111818.0</v>
      </c>
      <c r="H50" s="12">
        <v>1.0509269E7</v>
      </c>
      <c r="I50" s="12">
        <f t="shared" si="1"/>
        <v>10621087</v>
      </c>
    </row>
    <row r="51" ht="15.75" customHeight="1">
      <c r="A51" s="6">
        <v>47.0</v>
      </c>
      <c r="B51" s="7" t="s">
        <v>58</v>
      </c>
      <c r="C51" s="13" t="s">
        <v>24</v>
      </c>
      <c r="D51" s="9">
        <v>2.3780822E7</v>
      </c>
      <c r="E51" s="9">
        <v>2.3780822E7</v>
      </c>
      <c r="F51" s="9">
        <v>2.1479452E7</v>
      </c>
      <c r="G51" s="9">
        <v>2.3780822E7</v>
      </c>
      <c r="H51" s="9">
        <v>2.3013699E7</v>
      </c>
      <c r="I51" s="9">
        <f t="shared" si="1"/>
        <v>115835617</v>
      </c>
    </row>
    <row r="52" ht="15.75" customHeight="1">
      <c r="A52" s="14" t="s">
        <v>59</v>
      </c>
      <c r="B52" s="15"/>
      <c r="C52" s="16"/>
      <c r="D52" s="17">
        <f t="shared" ref="D52:I52" si="2">SUM(D5:D51)</f>
        <v>2680699385</v>
      </c>
      <c r="E52" s="17">
        <f t="shared" si="2"/>
        <v>3302980011</v>
      </c>
      <c r="F52" s="17">
        <f t="shared" si="2"/>
        <v>3116647186</v>
      </c>
      <c r="G52" s="17">
        <f t="shared" si="2"/>
        <v>3681332257</v>
      </c>
      <c r="H52" s="17">
        <f t="shared" si="2"/>
        <v>2678709404</v>
      </c>
      <c r="I52" s="17">
        <f t="shared" si="2"/>
        <v>15460368243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52:C5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5.0"/>
    <col customWidth="1" min="2" max="2" width="46.0"/>
    <col customWidth="1" min="3" max="7" width="13.0"/>
    <col customWidth="1" min="8" max="8" width="17.0"/>
    <col customWidth="1" min="9" max="26" width="8.71"/>
  </cols>
  <sheetData>
    <row r="1" ht="25.5" customHeight="1">
      <c r="A1" s="1" t="s">
        <v>60</v>
      </c>
      <c r="B1" s="2"/>
      <c r="C1" s="2"/>
      <c r="D1" s="2"/>
      <c r="E1" s="2"/>
      <c r="F1" s="2"/>
      <c r="G1" s="2"/>
      <c r="H1" s="3"/>
    </row>
    <row r="2">
      <c r="A2" s="4" t="s">
        <v>1</v>
      </c>
    </row>
    <row r="4">
      <c r="A4" s="5" t="s">
        <v>2</v>
      </c>
      <c r="B4" s="5" t="s">
        <v>3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</row>
    <row r="5">
      <c r="A5" s="6">
        <v>1.0</v>
      </c>
      <c r="B5" s="7" t="s">
        <v>61</v>
      </c>
      <c r="C5" s="9">
        <v>0.0</v>
      </c>
      <c r="D5" s="9">
        <v>0.0</v>
      </c>
      <c r="E5" s="9">
        <v>0.0</v>
      </c>
      <c r="F5" s="9">
        <v>0.0</v>
      </c>
      <c r="G5" s="9">
        <v>0.0</v>
      </c>
      <c r="H5" s="9">
        <f t="shared" ref="H5:H12" si="1">SUM(C5:G5)</f>
        <v>0</v>
      </c>
    </row>
    <row r="6">
      <c r="A6" s="10">
        <v>2.0</v>
      </c>
      <c r="B6" s="11" t="s">
        <v>62</v>
      </c>
      <c r="C6" s="12">
        <v>599860.0</v>
      </c>
      <c r="D6" s="12">
        <v>599860.0</v>
      </c>
      <c r="E6" s="12">
        <v>599860.0</v>
      </c>
      <c r="F6" s="12">
        <v>599860.0</v>
      </c>
      <c r="G6" s="12">
        <v>625818.0</v>
      </c>
      <c r="H6" s="12">
        <f t="shared" si="1"/>
        <v>3025258</v>
      </c>
    </row>
    <row r="7">
      <c r="A7" s="6">
        <v>3.0</v>
      </c>
      <c r="B7" s="7" t="s">
        <v>63</v>
      </c>
      <c r="C7" s="9">
        <v>0.0</v>
      </c>
      <c r="D7" s="9">
        <v>0.0</v>
      </c>
      <c r="E7" s="9">
        <v>0.0</v>
      </c>
      <c r="F7" s="9">
        <v>0.0</v>
      </c>
      <c r="G7" s="9">
        <v>0.0</v>
      </c>
      <c r="H7" s="9">
        <f t="shared" si="1"/>
        <v>0</v>
      </c>
    </row>
    <row r="8">
      <c r="A8" s="10">
        <v>4.0</v>
      </c>
      <c r="B8" s="11" t="s">
        <v>64</v>
      </c>
      <c r="C8" s="12">
        <v>0.0</v>
      </c>
      <c r="D8" s="12">
        <v>0.0</v>
      </c>
      <c r="E8" s="12">
        <v>0.0</v>
      </c>
      <c r="F8" s="12">
        <v>0.0</v>
      </c>
      <c r="G8" s="12">
        <v>0.0</v>
      </c>
      <c r="H8" s="12">
        <f t="shared" si="1"/>
        <v>0</v>
      </c>
    </row>
    <row r="9">
      <c r="A9" s="6">
        <v>5.0</v>
      </c>
      <c r="B9" s="7" t="s">
        <v>65</v>
      </c>
      <c r="C9" s="9">
        <v>0.0</v>
      </c>
      <c r="D9" s="9">
        <v>0.0</v>
      </c>
      <c r="E9" s="9">
        <v>0.0</v>
      </c>
      <c r="F9" s="9">
        <v>0.0</v>
      </c>
      <c r="G9" s="9">
        <v>0.0</v>
      </c>
      <c r="H9" s="9">
        <f t="shared" si="1"/>
        <v>0</v>
      </c>
    </row>
    <row r="10">
      <c r="A10" s="10">
        <v>6.0</v>
      </c>
      <c r="B10" s="11" t="s">
        <v>66</v>
      </c>
      <c r="C10" s="12">
        <v>0.0</v>
      </c>
      <c r="D10" s="12">
        <v>0.0</v>
      </c>
      <c r="E10" s="12">
        <v>0.0</v>
      </c>
      <c r="F10" s="12">
        <v>0.0</v>
      </c>
      <c r="G10" s="12">
        <v>0.0</v>
      </c>
      <c r="H10" s="12">
        <f t="shared" si="1"/>
        <v>0</v>
      </c>
    </row>
    <row r="11">
      <c r="A11" s="6">
        <v>7.0</v>
      </c>
      <c r="B11" s="7" t="s">
        <v>67</v>
      </c>
      <c r="C11" s="9">
        <v>0.0</v>
      </c>
      <c r="D11" s="9">
        <v>0.0</v>
      </c>
      <c r="E11" s="9">
        <v>0.0</v>
      </c>
      <c r="F11" s="9">
        <v>0.0</v>
      </c>
      <c r="G11" s="9">
        <v>0.0</v>
      </c>
      <c r="H11" s="9">
        <f t="shared" si="1"/>
        <v>0</v>
      </c>
    </row>
    <row r="12">
      <c r="A12" s="10">
        <v>8.0</v>
      </c>
      <c r="B12" s="11" t="s">
        <v>68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2">
        <f t="shared" si="1"/>
        <v>0</v>
      </c>
    </row>
    <row r="13">
      <c r="A13" s="14" t="s">
        <v>59</v>
      </c>
      <c r="B13" s="16"/>
      <c r="C13" s="17">
        <f t="shared" ref="C13:H13" si="2">SUM(C5:C12)</f>
        <v>599860</v>
      </c>
      <c r="D13" s="17">
        <f t="shared" si="2"/>
        <v>599860</v>
      </c>
      <c r="E13" s="17">
        <f t="shared" si="2"/>
        <v>599860</v>
      </c>
      <c r="F13" s="17">
        <f t="shared" si="2"/>
        <v>599860</v>
      </c>
      <c r="G13" s="17">
        <f t="shared" si="2"/>
        <v>625818</v>
      </c>
      <c r="H13" s="17">
        <f t="shared" si="2"/>
        <v>3025258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13:B1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2026-06-10T03:11:10Z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